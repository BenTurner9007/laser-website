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ywood" sheetId="1" state="visible" r:id="rId3"/>
    <sheet name="Notes" sheetId="2" state="visible" r:id="rId4"/>
  </sheets>
  <definedNames>
    <definedName function="false" hidden="true" localSheetId="0" name="_xlnm._FilterDatabase" vbProcedure="false">Plywood!$A$1:$L$48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<sst xmlns="http://schemas.openxmlformats.org/spreadsheetml/2006/main" count="314" uniqueCount="196">
  <si>
    <t xml:space="preserve">Stock code</t>
  </si>
  <si>
    <t xml:space="preserve">Product</t>
  </si>
  <si>
    <t xml:space="preserve">Material</t>
  </si>
  <si>
    <t xml:space="preserve">Thickness (mm)</t>
  </si>
  <si>
    <t xml:space="preserve">Length (mm)</t>
  </si>
  <si>
    <t xml:space="preserve">Width (mm)</t>
  </si>
  <si>
    <t xml:space="preserve">Price ex VAT (£)</t>
  </si>
  <si>
    <t xml:space="preserve">Price inc VAT (£)</t>
  </si>
  <si>
    <t xml:space="preserve">Price per m² ex VAT (£)</t>
  </si>
  <si>
    <t xml:space="preserve">Description</t>
  </si>
  <si>
    <t xml:space="preserve">Description source</t>
  </si>
  <si>
    <t xml:space="preserve">Product URL</t>
  </si>
  <si>
    <t xml:space="preserve">3209</t>
  </si>
  <si>
    <t xml:space="preserve">3mm Panguaneta Poplar Laser Plywood, 600mm x 400mm sheet</t>
  </si>
  <si>
    <t xml:space="preserve">Poplar (Panguaneta, AB/AB)</t>
  </si>
  <si>
    <t xml:space="preserve">AB/AB Italian Panguaneta poplar plywood. Low density, so it cuts at lower laser power than birch. EN314-2 Class 1 interior glue. PEFC certified. Thickness tolerance +0.2/-0.4mm. Sheets may bow or twist by 25mm+, so strap or tape to the bed. (Description read from the 3mm 600x400 product page; assumed to apply to other thicknesses/sizes.)</t>
  </si>
  <si>
    <t xml:space="preserve">Product page read</t>
  </si>
  <si>
    <t xml:space="preserve">https://kitronik.co.uk/products/3209-3mm-poplar-laser-plywood-600mm-x-400mm-sheet</t>
  </si>
  <si>
    <t xml:space="preserve">3261</t>
  </si>
  <si>
    <t xml:space="preserve">4mm Panguaneta Poplar Laser Plywood, 600mm x 400mm sheet</t>
  </si>
  <si>
    <t xml:space="preserve">Family description (see note)</t>
  </si>
  <si>
    <t xml:space="preserve">https://kitronik.co.uk/products/3261-4mm-poplar-laser-plywood-600mm-x-400mm-abab</t>
  </si>
  <si>
    <t xml:space="preserve">3210</t>
  </si>
  <si>
    <t xml:space="preserve">6mm Panguaneta Poplar Laser Plywood, 600mm x 400mm sheet</t>
  </si>
  <si>
    <t xml:space="preserve">https://kitronik.co.uk/products/3210-6mm-poplar-laser-plywood-600mm-x-400mm-sheet</t>
  </si>
  <si>
    <t xml:space="preserve">3272</t>
  </si>
  <si>
    <t xml:space="preserve">3mm Panguaneta Poplar Laser Plywood, 300mm x 200mm sheet</t>
  </si>
  <si>
    <t xml:space="preserve">https://kitronik.co.uk/products/3272-3mm-poplar-plywood-300mm-x-200mm-sheet</t>
  </si>
  <si>
    <t xml:space="preserve">32160</t>
  </si>
  <si>
    <t xml:space="preserve">3mm Panguaneta Poplar Laser Plywood, 400mm x 300mm sheet</t>
  </si>
  <si>
    <t xml:space="preserve">https://kitronik.co.uk/products/32160-3mm-poplar-laser-plywood-400mm-x-300mm-sheet</t>
  </si>
  <si>
    <t xml:space="preserve">3224</t>
  </si>
  <si>
    <t xml:space="preserve">3mm Panguaneta Poplar Laser Plywood, 600mm x 300mm sheet</t>
  </si>
  <si>
    <t xml:space="preserve">https://kitronik.co.uk/products/3224-3mm-poplar-laser-plywood-600mm-x-300mm-sheet</t>
  </si>
  <si>
    <t xml:space="preserve">3217</t>
  </si>
  <si>
    <t xml:space="preserve">3mm Panguaneta Poplar Laser Plywood, 800mm x 600mm sheet</t>
  </si>
  <si>
    <t xml:space="preserve">https://kitronik.co.uk/products/3217-3mm-poplar-laser-plywood-800mm-x-600mm-sheet</t>
  </si>
  <si>
    <t xml:space="preserve">3279</t>
  </si>
  <si>
    <t xml:space="preserve">6mm Panguaneta Poplar Laser Plywood, 800mm x 600mm Sheet</t>
  </si>
  <si>
    <t xml:space="preserve">https://kitronik.co.uk/products/3279-6mm-poplar-plywood-800mm-x-600mm-sheet</t>
  </si>
  <si>
    <t xml:space="preserve">3225</t>
  </si>
  <si>
    <t xml:space="preserve">6mm Panguaneta Poplar Laser Plywood, 600mm x 300mm sheet</t>
  </si>
  <si>
    <t xml:space="preserve">https://kitronik.co.uk/products/3225-6mm-poplar-laser-plywood-600mm-x-300mm-sheet</t>
  </si>
  <si>
    <t xml:space="preserve">32141</t>
  </si>
  <si>
    <t xml:space="preserve">4mm Panguaneta Poplar Laser Plywood, 400mm x 300mm sheet</t>
  </si>
  <si>
    <t xml:space="preserve">https://kitronik.co.uk/products/32141-4mm-poplar-laser-plywood-400mm-x-300mm-sheet-ab-ab</t>
  </si>
  <si>
    <t xml:space="preserve">32171</t>
  </si>
  <si>
    <t xml:space="preserve">3mm Birch-Faced Poplar Plywood, 600mm x 400mm sheet</t>
  </si>
  <si>
    <t xml:space="preserve">Birch-faced poplar</t>
  </si>
  <si>
    <t xml:space="preserve">Decorative birch veneer on both faces over a low-density poplar core. Cuts at lower power than all-birch ply. EN314-2 Class 1 interior glue. Can be sanded, stained or oiled like birch ply. (Description from the 3mm birch-faced sample page; assumed to apply to other thicknesses/sizes.)</t>
  </si>
  <si>
    <t xml:space="preserve">https://kitronik.co.uk/products/32171-3mm-birch-faced-veneered-plywood-600mm-x-400mm-sheet</t>
  </si>
  <si>
    <t xml:space="preserve">32153</t>
  </si>
  <si>
    <t xml:space="preserve">3mm Panguaneta Poplar Laser Plywood, 400mm x 400mm sheet</t>
  </si>
  <si>
    <t xml:space="preserve">https://kitronik.co.uk/products/32153-3mm-poplar-plywood-400mm-x-400mm-sheet</t>
  </si>
  <si>
    <t xml:space="preserve">32147</t>
  </si>
  <si>
    <t xml:space="preserve">6mm Panguaneta Poplar Laser Plywood, 400mm x 300mm sheet</t>
  </si>
  <si>
    <t xml:space="preserve">https://kitronik.co.uk/products/32147-6mm-poplar-laser-plywood-400mm-x-300mm-sheet</t>
  </si>
  <si>
    <t xml:space="preserve">3267</t>
  </si>
  <si>
    <t xml:space="preserve">4mm Panguaneta Poplar Laser Plywood, 600mm x 300mm sheet</t>
  </si>
  <si>
    <t xml:space="preserve">https://kitronik.co.uk/products/3267-4mm-poplar-laser-plywood-600mm-x-300mm-abab</t>
  </si>
  <si>
    <t xml:space="preserve">3260</t>
  </si>
  <si>
    <t xml:space="preserve">9mm Panguaneta Poplar Laser Plywood, 600mm x 400mm sheet</t>
  </si>
  <si>
    <t xml:space="preserve">https://kitronik.co.uk/products/3260-9mm-poplar-laser-plywood-600mm-x-400mm-sheet</t>
  </si>
  <si>
    <t xml:space="preserve">32185</t>
  </si>
  <si>
    <t xml:space="preserve">3mm Maple-Faced Poplar Plywood, 600mm x 400mm sheet</t>
  </si>
  <si>
    <t xml:space="preserve">Maple-faced poplar</t>
  </si>
  <si>
    <t xml:space="preserve">B/BB maple-faced poplar plywood. Decorative maple veneer on both faces, poplar core. Lower density and lighter than maple ply. Small pin knots allowed. EN314-2 Class 1 interior glue. Thickness tolerance +0.2/-0.4mm. Sheets may bow 25mm+.</t>
  </si>
  <si>
    <t xml:space="preserve">https://kitronik.co.uk/products/32185-3mm-maple-faced-poplar-plywood-600mm-x-400mm-sheet</t>
  </si>
  <si>
    <t xml:space="preserve">32148</t>
  </si>
  <si>
    <t xml:space="preserve">4mm Panguaneta Poplar Laser Plywood, 800mm x 600mm sheet</t>
  </si>
  <si>
    <t xml:space="preserve">https://kitronik.co.uk/products/32148-4mm-poplar-laser-plywood-800mm-x-600mm-sheet</t>
  </si>
  <si>
    <t xml:space="preserve">3214</t>
  </si>
  <si>
    <t xml:space="preserve">1.5mm BR Grade Birch Laser Plywood, 600mm x 400mm sheet</t>
  </si>
  <si>
    <t xml:space="preserve">Birch (BR grade)</t>
  </si>
  <si>
    <t xml:space="preserve">BR grade Finnish birch laser plywood, similar to B grade. Knots typically 7-8mm or less, smoother surface than typical ply. EN314-2 Class 1 interior glue. Thickness tolerance +/-10%. May bow up to ~30mm, so strap to the bed. (Description read from the 3mm 600x400 product page; assumed to apply to the thinner/other sizes.)</t>
  </si>
  <si>
    <t xml:space="preserve">https://kitronik.co.uk/products/3214-15mm-birch-laser-plywood-600mm-x-400mm-sheet</t>
  </si>
  <si>
    <t xml:space="preserve">3213</t>
  </si>
  <si>
    <t xml:space="preserve">0.8mm BR Grade Birch Laser Plywood, 600mm x 400mm sheet</t>
  </si>
  <si>
    <t xml:space="preserve">https://kitronik.co.uk/products/3213-08mm-birch-laser-plywood-600mm-x-400mm-sheet</t>
  </si>
  <si>
    <t xml:space="preserve">32213</t>
  </si>
  <si>
    <t xml:space="preserve">3mm B/BB Poplar Laser Plywood Sheet 600mm x 400mm</t>
  </si>
  <si>
    <t xml:space="preserve">Poplar (B/BB)</t>
  </si>
  <si>
    <t xml:space="preserve">B/BB poplar plywood. Near-flawless B face, BB reverse that may show knots and visible repairs. Low density for easier laser cutting. EN314-2 Class 1 interior glue. PEFC certified. Thickness tolerance +0.2/-0.4mm. Sheets may bow 25mm+. (Description read from the 3mm 600x400 product page; assumed to apply to other sizes.)</t>
  </si>
  <si>
    <t xml:space="preserve">https://kitronik.co.uk/products/32213-3mm-b-bb-poplar-laser-sheet-600mm-x-400mm</t>
  </si>
  <si>
    <t xml:space="preserve">32172</t>
  </si>
  <si>
    <t xml:space="preserve">3mm Birch-Faced Poplar Plywood, 800mm x 600mm sheet</t>
  </si>
  <si>
    <t xml:space="preserve">https://kitronik.co.uk/products/32172-3mm-birch-faced-veneered-plywood-800mm-x-600mm-sheet</t>
  </si>
  <si>
    <t xml:space="preserve">3262</t>
  </si>
  <si>
    <t xml:space="preserve">2mm Ceiba Plywood, 600mm x 400mm sheet</t>
  </si>
  <si>
    <t xml:space="preserve">Ceiba (B/BB)</t>
  </si>
  <si>
    <t xml:space="preserve">B/BB ceiba plywood (B top, BB underside), 3-ply. Very fast growing and much lower density than birch, so cuts at low power. Sand lightly to remove fuzzy surface. EN314-2 Class 1 interior glue. Thickness tolerance +/-0.1mm. Sheets may bow 25mm+. (Description read from the 2mm 600x400 product page; assumed to apply to other sizes.)</t>
  </si>
  <si>
    <t xml:space="preserve">https://kitronik.co.uk/products/3262-2mm-ceiba-plywood-600-x-400mm</t>
  </si>
  <si>
    <t xml:space="preserve">3278</t>
  </si>
  <si>
    <t xml:space="preserve">1.5mm BR Grade Birch Laser Plywood, 600mm x 300mm sheet</t>
  </si>
  <si>
    <t xml:space="preserve">https://kitronik.co.uk/products/3278-15mm-br-grade-birch-laser-plywood-600mm-x-300mm-sheet</t>
  </si>
  <si>
    <t xml:space="preserve">3223</t>
  </si>
  <si>
    <t xml:space="preserve">3mm BR Grade Birch Laser Plywood, 600mm x 400mm sheet</t>
  </si>
  <si>
    <t xml:space="preserve">https://kitronik.co.uk/products/3223-3mm-br-grade-birch-laser-plywood-600mm-x-400mm-sheet</t>
  </si>
  <si>
    <t xml:space="preserve">32145</t>
  </si>
  <si>
    <t xml:space="preserve">3mm BR Grade Birch Laser Plywood, 400mm x 300mm sheet</t>
  </si>
  <si>
    <t xml:space="preserve">https://kitronik.co.uk/products/32145-3mm-br-grade-birch-laser-plywood-400mm-x-300mm-sheet</t>
  </si>
  <si>
    <t xml:space="preserve">32174</t>
  </si>
  <si>
    <t xml:space="preserve">6mm Birch-Faced Poplar Plywood, 600mm x 400mm sheet</t>
  </si>
  <si>
    <t xml:space="preserve">https://kitronik.co.uk/products/32174-6mm-birch-faced-veneered-plywood-600mm-x-400mm-sheets</t>
  </si>
  <si>
    <t xml:space="preserve">32170</t>
  </si>
  <si>
    <t xml:space="preserve">3mm Birch-Faced Poplar Plywood, 600mm x 300mm sheet</t>
  </si>
  <si>
    <t xml:space="preserve">https://kitronik.co.uk/products/32170-3mm-birch-faced-veneered-plywood-600mm-x-300mm-sheet</t>
  </si>
  <si>
    <t xml:space="preserve">32134</t>
  </si>
  <si>
    <t xml:space="preserve">2mm Ceiba Plywood, 600mm x 300mm sheet</t>
  </si>
  <si>
    <t xml:space="preserve">https://kitronik.co.uk/products/32134-2mm-ceiba-plywood-600mm-x-300mm</t>
  </si>
  <si>
    <t xml:space="preserve">3215</t>
  </si>
  <si>
    <t xml:space="preserve">2mm BR Grade Birch Laser Plywood, 600mm x 400mm sheet</t>
  </si>
  <si>
    <t xml:space="preserve">https://kitronik.co.uk/products/3215-20mm-birch-laser-plywood-600mm-x-400mm-sheet</t>
  </si>
  <si>
    <t xml:space="preserve">3277</t>
  </si>
  <si>
    <t xml:space="preserve">1.5mm BR Grade Birch Laser Plywood, 400mm x 300mm sheet</t>
  </si>
  <si>
    <t xml:space="preserve">https://kitronik.co.uk/products/3277-15mm-br-grade-birch-laser-plywood-400mm-x-300mm-sheet</t>
  </si>
  <si>
    <t xml:space="preserve">32190</t>
  </si>
  <si>
    <t xml:space="preserve">2mm Ceiba Plywood, 400mm x 300mm sheet</t>
  </si>
  <si>
    <t xml:space="preserve">https://kitronik.co.uk/products/32190-2mm-ceiba-plywood-400mm-x-300mm-sheet</t>
  </si>
  <si>
    <t xml:space="preserve">32214</t>
  </si>
  <si>
    <t xml:space="preserve">3mm B/BB Poplar Laser Plywood Sheet 800mm x 600mm</t>
  </si>
  <si>
    <t xml:space="preserve">https://kitronik.co.uk/products/32214-3mm-b-bb-poplar-laser-sheet-800mm-x-600mm</t>
  </si>
  <si>
    <t xml:space="preserve">32215</t>
  </si>
  <si>
    <t xml:space="preserve">3mm B/BB Poplar Laser Plywood Sheet 600mm x 300mm</t>
  </si>
  <si>
    <t xml:space="preserve">https://kitronik.co.uk/products/32215-3mm-b-bb-poplar-laser-sheet-600mm-x-300mm</t>
  </si>
  <si>
    <t xml:space="preserve">32184</t>
  </si>
  <si>
    <t xml:space="preserve">Wood Sheet Sample Pack (3mm-6mm) x 111mm x 57mm</t>
  </si>
  <si>
    <t xml:space="preserve">Sample pack</t>
  </si>
  <si>
    <t xml:space="preserve">Sample pack of wood sheet pieces, 111mm x 57mm each, 3mm-6mm thick. Contents not individually checked: only the product title was read.</t>
  </si>
  <si>
    <t xml:space="preserve">Title/listing only</t>
  </si>
  <si>
    <t xml:space="preserve">https://kitronik.co.uk/products/32184-wood-sample-pack</t>
  </si>
  <si>
    <t xml:space="preserve">3275</t>
  </si>
  <si>
    <t xml:space="preserve">0.8mm BR Grade Birch Laser Plywood, 400mm x 300mm sheet</t>
  </si>
  <si>
    <t xml:space="preserve">https://kitronik.co.uk/products/3275-08mm-br-grade-birch-laser-plywood-400mm-x-300mm-sheet</t>
  </si>
  <si>
    <t xml:space="preserve">32192</t>
  </si>
  <si>
    <t xml:space="preserve">9mm Pangueneta Poplar Laser Plywood, 800mm x 600mm sheet</t>
  </si>
  <si>
    <t xml:space="preserve">https://kitronik.co.uk/products/32192-9mm-pangueneta-poplar-laser-plywood-800mm-x-600mm-sheet</t>
  </si>
  <si>
    <t xml:space="preserve">3292</t>
  </si>
  <si>
    <t xml:space="preserve">2mm Ceiba Plywood, 800mm x 600mm sheet</t>
  </si>
  <si>
    <t xml:space="preserve">https://kitronik.co.uk/products/3292-2mm-ceiba-plywood-800-x-600mm</t>
  </si>
  <si>
    <t xml:space="preserve">3276</t>
  </si>
  <si>
    <t xml:space="preserve">0.8mm BR Grade Birch Laser Plywood, 600mm x 300mm sheet</t>
  </si>
  <si>
    <t xml:space="preserve">https://kitronik.co.uk/products/3276-08mm-br-grade-birch-laser-plywood-600mm-x-300mm-sheet</t>
  </si>
  <si>
    <t xml:space="preserve">32191</t>
  </si>
  <si>
    <t xml:space="preserve">9mm Panguaneta Poplar Laser Plywood, 600mm x 300mm sheet</t>
  </si>
  <si>
    <t xml:space="preserve">https://kitronik.co.uk/products/32191-9mm-panguaneta-poplar-laser-plywood-600mm-x-300mm-sheet</t>
  </si>
  <si>
    <t xml:space="preserve">32198</t>
  </si>
  <si>
    <t xml:space="preserve">6mm Birch-Faced Poplar Plywood, 600mm x 300mm sheet</t>
  </si>
  <si>
    <t xml:space="preserve">https://kitronik.co.uk/products/32198-3mm-birch-faced-poplar-plywood-600mm-x-300mm-sheet</t>
  </si>
  <si>
    <t xml:space="preserve">32175</t>
  </si>
  <si>
    <t xml:space="preserve">6mm Birch-Faced Poplar Plywood, 800mm x 600mm sheet</t>
  </si>
  <si>
    <t xml:space="preserve">https://kitronik.co.uk/products/32175-6mm-birch-faced-veneered-plywood-800mm-x-600mm-sheets</t>
  </si>
  <si>
    <t xml:space="preserve">32189</t>
  </si>
  <si>
    <t xml:space="preserve">3mm BR Grade Birch Laser Plywood, 600mm x 300mm sheet</t>
  </si>
  <si>
    <t xml:space="preserve">https://kitronik.co.uk/products/32189-3mm-br-grade-birch-laser-plywood-600mm-x-300mm-sheet</t>
  </si>
  <si>
    <t xml:space="preserve">32188</t>
  </si>
  <si>
    <t xml:space="preserve">2mm BR Grade Birch Laser Plywood, 400mm x 300mm sheet</t>
  </si>
  <si>
    <t xml:space="preserve">https://kitronik.co.uk/products/32188-2mm-br-grade-birch-laser-plywood-400mm-x-300mm-sheet</t>
  </si>
  <si>
    <t xml:space="preserve">32171-SMPL</t>
  </si>
  <si>
    <t xml:space="preserve">3mm Birch-Faced Poplar Plywood - Sample</t>
  </si>
  <si>
    <t xml:space="preserve">Birch-faced poplar (sample)</t>
  </si>
  <si>
    <t xml:space="preserve">Small sample piece of the 3mm birch-faced poplar plywood (length 98mm per the sample page). Birch veneer faces over a poplar core, EN314-2 Class 1 interior glue.</t>
  </si>
  <si>
    <t xml:space="preserve">https://kitronik.co.uk/products/32171-smpl-3mm-birch-faced-veneered-plywood-sample</t>
  </si>
  <si>
    <t xml:space="preserve">3215-SMPL</t>
  </si>
  <si>
    <t xml:space="preserve">2mm BR Grade Birch Laser Plywood - Sample</t>
  </si>
  <si>
    <t xml:space="preserve">Birch (BR grade, sample)</t>
  </si>
  <si>
    <t xml:space="preserve">Sample piece of 2mm BR grade birch laser plywood. Sample size not verified (only the collection listing was read).</t>
  </si>
  <si>
    <t xml:space="preserve">https://kitronik.co.uk/products/3215-smpl-2mm-br-grade-birch-laser-plywood-sample</t>
  </si>
  <si>
    <t xml:space="preserve">32206</t>
  </si>
  <si>
    <t xml:space="preserve">Laser Materials Starter Pack</t>
  </si>
  <si>
    <t xml:space="preserve">Starter pack</t>
  </si>
  <si>
    <t xml:space="preserve">Laser Materials Starter Pack. Contents not checked: only the collection listing was read, so see the product page for what is included.</t>
  </si>
  <si>
    <t xml:space="preserve">https://kitronik.co.uk/products/32206-laser-materials-starter-pack</t>
  </si>
  <si>
    <t xml:space="preserve">32202</t>
  </si>
  <si>
    <t xml:space="preserve">2mm BR Grade Birch Laser Plywood, 600mm x 300mm sheet</t>
  </si>
  <si>
    <t xml:space="preserve">https://kitronik.co.uk/products/32202-2mm-br-grade-birch-laser-plywood-600mm-x-300mm-sheet</t>
  </si>
  <si>
    <t xml:space="preserve">Item</t>
  </si>
  <si>
    <t xml:space="preserve">Note</t>
  </si>
  <si>
    <t xml:space="preserve">Source</t>
  </si>
  <si>
    <t xml:space="preserve">kitronik.co.uk Laser Plywood (LaserPly) collection, both pages (47 products), read 1 Nov 2026.</t>
  </si>
  <si>
    <t xml:space="preserve">Prices</t>
  </si>
  <si>
    <t xml:space="preserve">Listed prices are ex VAT (1+ quantity tier). Inc VAT = ex VAT x 1.2 (formula). Kitronik also gives 10+/100+ tier discounts on product pages; not captured here.</t>
  </si>
  <si>
    <t xml:space="preserve">Price per m²</t>
  </si>
  <si>
    <t xml:space="preserve">Formula: price / (length x width). Blank for samples/packs without a verified sheet size.</t>
  </si>
  <si>
    <t xml:space="preserve">Delivery</t>
  </si>
  <si>
    <t xml:space="preserve">Product pages quote UK delivery at a flat £7.50 ex VAT for sheet materials. The site also says free delivery over £50 ex VAT excludes sheet materials.</t>
  </si>
  <si>
    <t xml:space="preserve">Descriptions</t>
  </si>
  <si>
    <t xml:space="preserve">Product pages were read for 5 items (3209, 32185, 32213, 3262, 3223). Other rows reuse the matching material-family description, marked 'Family description'. Grade, glue and tolerance may differ on other thicknesses, so check the product page before ordering.</t>
  </si>
  <si>
    <t xml:space="preserve">Check: 32185 price</t>
  </si>
  <si>
    <t xml:space="preserve">Collection listing showed £5.15 but the product page shows £4.95. The product page figure is used.</t>
  </si>
  <si>
    <t xml:space="preserve">Check: 32198</t>
  </si>
  <si>
    <t xml:space="preserve">Listed as 6mm Birch-Faced Poplar 600x300 (name and add-to-cart label), but the URL slug says 3mm. Treated as 6mm; verify on the site.</t>
  </si>
  <si>
    <t xml:space="preserve">Check: collection count</t>
  </si>
  <si>
    <t xml:space="preserve">Page header says 47 results, page metadata says 46. 47 products were listed across the two pages.</t>
  </si>
  <si>
    <t xml:space="preserve">Scope</t>
  </si>
  <si>
    <t xml:space="preserve">Includes everything in Kitronik's Laser Plywood collection (including samples and packs). MDF, veneered MDF and acrylic are not included.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</si>
</sst>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\£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2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kitronik.co.uk/products/3209-3mm-poplar-laser-plywood-600mm-x-400mm-sheet" TargetMode="External"/><Relationship Id="rId2" Type="http://schemas.openxmlformats.org/officeDocument/2006/relationships/hyperlink" Target="https://kitronik.co.uk/products/3261-4mm-poplar-laser-plywood-600mm-x-400mm-abab" TargetMode="External"/><Relationship Id="rId3" Type="http://schemas.openxmlformats.org/officeDocument/2006/relationships/hyperlink" Target="https://kitronik.co.uk/products/3210-6mm-poplar-laser-plywood-600mm-x-400mm-sheet" TargetMode="External"/><Relationship Id="rId4" Type="http://schemas.openxmlformats.org/officeDocument/2006/relationships/hyperlink" Target="https://kitronik.co.uk/products/3272-3mm-poplar-plywood-300mm-x-200mm-sheet" TargetMode="External"/><Relationship Id="rId5" Type="http://schemas.openxmlformats.org/officeDocument/2006/relationships/hyperlink" Target="https://kitronik.co.uk/products/32160-3mm-poplar-laser-plywood-400mm-x-300mm-sheet" TargetMode="External"/><Relationship Id="rId6" Type="http://schemas.openxmlformats.org/officeDocument/2006/relationships/hyperlink" Target="https://kitronik.co.uk/products/3224-3mm-poplar-laser-plywood-600mm-x-300mm-sheet" TargetMode="External"/><Relationship Id="rId7" Type="http://schemas.openxmlformats.org/officeDocument/2006/relationships/hyperlink" Target="https://kitronik.co.uk/products/3217-3mm-poplar-laser-plywood-800mm-x-600mm-sheet" TargetMode="External"/><Relationship Id="rId8" Type="http://schemas.openxmlformats.org/officeDocument/2006/relationships/hyperlink" Target="https://kitronik.co.uk/products/3279-6mm-poplar-plywood-800mm-x-600mm-sheet" TargetMode="External"/><Relationship Id="rId9" Type="http://schemas.openxmlformats.org/officeDocument/2006/relationships/hyperlink" Target="https://kitronik.co.uk/products/3225-6mm-poplar-laser-plywood-600mm-x-300mm-sheet" TargetMode="External"/><Relationship Id="rId10" Type="http://schemas.openxmlformats.org/officeDocument/2006/relationships/hyperlink" Target="https://kitronik.co.uk/products/32141-4mm-poplar-laser-plywood-400mm-x-300mm-sheet-ab-ab" TargetMode="External"/><Relationship Id="rId11" Type="http://schemas.openxmlformats.org/officeDocument/2006/relationships/hyperlink" Target="https://kitronik.co.uk/products/32171-3mm-birch-faced-veneered-plywood-600mm-x-400mm-sheet" TargetMode="External"/><Relationship Id="rId12" Type="http://schemas.openxmlformats.org/officeDocument/2006/relationships/hyperlink" Target="https://kitronik.co.uk/products/32153-3mm-poplar-plywood-400mm-x-400mm-sheet" TargetMode="External"/><Relationship Id="rId13" Type="http://schemas.openxmlformats.org/officeDocument/2006/relationships/hyperlink" Target="https://kitronik.co.uk/products/32147-6mm-poplar-laser-plywood-400mm-x-300mm-sheet" TargetMode="External"/><Relationship Id="rId14" Type="http://schemas.openxmlformats.org/officeDocument/2006/relationships/hyperlink" Target="https://kitronik.co.uk/products/3267-4mm-poplar-laser-plywood-600mm-x-300mm-abab" TargetMode="External"/><Relationship Id="rId15" Type="http://schemas.openxmlformats.org/officeDocument/2006/relationships/hyperlink" Target="https://kitronik.co.uk/products/3260-9mm-poplar-laser-plywood-600mm-x-400mm-sheet" TargetMode="External"/><Relationship Id="rId16" Type="http://schemas.openxmlformats.org/officeDocument/2006/relationships/hyperlink" Target="https://kitronik.co.uk/products/32185-3mm-maple-faced-poplar-plywood-600mm-x-400mm-sheet" TargetMode="External"/><Relationship Id="rId17" Type="http://schemas.openxmlformats.org/officeDocument/2006/relationships/hyperlink" Target="https://kitronik.co.uk/products/32148-4mm-poplar-laser-plywood-800mm-x-600mm-sheet" TargetMode="External"/><Relationship Id="rId18" Type="http://schemas.openxmlformats.org/officeDocument/2006/relationships/hyperlink" Target="https://kitronik.co.uk/products/3214-15mm-birch-laser-plywood-600mm-x-400mm-sheet" TargetMode="External"/><Relationship Id="rId19" Type="http://schemas.openxmlformats.org/officeDocument/2006/relationships/hyperlink" Target="https://kitronik.co.uk/products/3213-08mm-birch-laser-plywood-600mm-x-400mm-sheet" TargetMode="External"/><Relationship Id="rId20" Type="http://schemas.openxmlformats.org/officeDocument/2006/relationships/hyperlink" Target="https://kitronik.co.uk/products/32213-3mm-b-bb-poplar-laser-sheet-600mm-x-400mm" TargetMode="External"/><Relationship Id="rId21" Type="http://schemas.openxmlformats.org/officeDocument/2006/relationships/hyperlink" Target="https://kitronik.co.uk/products/32172-3mm-birch-faced-veneered-plywood-800mm-x-600mm-sheet" TargetMode="External"/><Relationship Id="rId22" Type="http://schemas.openxmlformats.org/officeDocument/2006/relationships/hyperlink" Target="https://kitronik.co.uk/products/3262-2mm-ceiba-plywood-600-x-400mm" TargetMode="External"/><Relationship Id="rId23" Type="http://schemas.openxmlformats.org/officeDocument/2006/relationships/hyperlink" Target="https://kitronik.co.uk/products/3278-15mm-br-grade-birch-laser-plywood-600mm-x-300mm-sheet" TargetMode="External"/><Relationship Id="rId24" Type="http://schemas.openxmlformats.org/officeDocument/2006/relationships/hyperlink" Target="https://kitronik.co.uk/products/3223-3mm-br-grade-birch-laser-plywood-600mm-x-400mm-sheet" TargetMode="External"/><Relationship Id="rId25" Type="http://schemas.openxmlformats.org/officeDocument/2006/relationships/hyperlink" Target="https://kitronik.co.uk/products/32145-3mm-br-grade-birch-laser-plywood-400mm-x-300mm-sheet" TargetMode="External"/><Relationship Id="rId26" Type="http://schemas.openxmlformats.org/officeDocument/2006/relationships/hyperlink" Target="https://kitronik.co.uk/products/32174-6mm-birch-faced-veneered-plywood-600mm-x-400mm-sheets" TargetMode="External"/><Relationship Id="rId27" Type="http://schemas.openxmlformats.org/officeDocument/2006/relationships/hyperlink" Target="https://kitronik.co.uk/products/32170-3mm-birch-faced-veneered-plywood-600mm-x-300mm-sheet" TargetMode="External"/><Relationship Id="rId28" Type="http://schemas.openxmlformats.org/officeDocument/2006/relationships/hyperlink" Target="https://kitronik.co.uk/products/32134-2mm-ceiba-plywood-600mm-x-300mm" TargetMode="External"/><Relationship Id="rId29" Type="http://schemas.openxmlformats.org/officeDocument/2006/relationships/hyperlink" Target="https://kitronik.co.uk/products/3215-20mm-birch-laser-plywood-600mm-x-400mm-sheet" TargetMode="External"/><Relationship Id="rId30" Type="http://schemas.openxmlformats.org/officeDocument/2006/relationships/hyperlink" Target="https://kitronik.co.uk/products/3277-15mm-br-grade-birch-laser-plywood-400mm-x-300mm-sheet" TargetMode="External"/><Relationship Id="rId31" Type="http://schemas.openxmlformats.org/officeDocument/2006/relationships/hyperlink" Target="https://kitronik.co.uk/products/32190-2mm-ceiba-plywood-400mm-x-300mm-sheet" TargetMode="External"/><Relationship Id="rId32" Type="http://schemas.openxmlformats.org/officeDocument/2006/relationships/hyperlink" Target="https://kitronik.co.uk/products/32214-3mm-b-bb-poplar-laser-sheet-800mm-x-600mm" TargetMode="External"/><Relationship Id="rId33" Type="http://schemas.openxmlformats.org/officeDocument/2006/relationships/hyperlink" Target="https://kitronik.co.uk/products/32215-3mm-b-bb-poplar-laser-sheet-600mm-x-300mm" TargetMode="External"/><Relationship Id="rId34" Type="http://schemas.openxmlformats.org/officeDocument/2006/relationships/hyperlink" Target="https://kitronik.co.uk/products/32184-wood-sample-pack" TargetMode="External"/><Relationship Id="rId35" Type="http://schemas.openxmlformats.org/officeDocument/2006/relationships/hyperlink" Target="https://kitronik.co.uk/products/3275-08mm-br-grade-birch-laser-plywood-400mm-x-300mm-sheet" TargetMode="External"/><Relationship Id="rId36" Type="http://schemas.openxmlformats.org/officeDocument/2006/relationships/hyperlink" Target="https://kitronik.co.uk/products/32192-9mm-pangueneta-poplar-laser-plywood-800mm-x-600mm-sheet" TargetMode="External"/><Relationship Id="rId37" Type="http://schemas.openxmlformats.org/officeDocument/2006/relationships/hyperlink" Target="https://kitronik.co.uk/products/3292-2mm-ceiba-plywood-800-x-600mm" TargetMode="External"/><Relationship Id="rId38" Type="http://schemas.openxmlformats.org/officeDocument/2006/relationships/hyperlink" Target="https://kitronik.co.uk/products/3276-08mm-br-grade-birch-laser-plywood-600mm-x-300mm-sheet" TargetMode="External"/><Relationship Id="rId39" Type="http://schemas.openxmlformats.org/officeDocument/2006/relationships/hyperlink" Target="https://kitronik.co.uk/products/32191-9mm-panguaneta-poplar-laser-plywood-600mm-x-300mm-sheet" TargetMode="External"/><Relationship Id="rId40" Type="http://schemas.openxmlformats.org/officeDocument/2006/relationships/hyperlink" Target="https://kitronik.co.uk/products/32198-3mm-birch-faced-poplar-plywood-600mm-x-300mm-sheet" TargetMode="External"/><Relationship Id="rId41" Type="http://schemas.openxmlformats.org/officeDocument/2006/relationships/hyperlink" Target="https://kitronik.co.uk/products/32175-6mm-birch-faced-veneered-plywood-800mm-x-600mm-sheets" TargetMode="External"/><Relationship Id="rId42" Type="http://schemas.openxmlformats.org/officeDocument/2006/relationships/hyperlink" Target="https://kitronik.co.uk/products/32189-3mm-br-grade-birch-laser-plywood-600mm-x-300mm-sheet" TargetMode="External"/><Relationship Id="rId43" Type="http://schemas.openxmlformats.org/officeDocument/2006/relationships/hyperlink" Target="https://kitronik.co.uk/products/32188-2mm-br-grade-birch-laser-plywood-400mm-x-300mm-sheet" TargetMode="External"/><Relationship Id="rId44" Type="http://schemas.openxmlformats.org/officeDocument/2006/relationships/hyperlink" Target="https://kitronik.co.uk/products/32171-smpl-3mm-birch-faced-veneered-plywood-sample" TargetMode="External"/><Relationship Id="rId45" Type="http://schemas.openxmlformats.org/officeDocument/2006/relationships/hyperlink" Target="https://kitronik.co.uk/products/3215-smpl-2mm-br-grade-birch-laser-plywood-sample" TargetMode="External"/><Relationship Id="rId46" Type="http://schemas.openxmlformats.org/officeDocument/2006/relationships/hyperlink" Target="https://kitronik.co.uk/products/32206-laser-materials-starter-pack" TargetMode="External"/><Relationship Id="rId47" Type="http://schemas.openxmlformats.org/officeDocument/2006/relationships/hyperlink" Target="https://kitronik.co.uk/products/32202-2mm-br-grade-birch-laser-plywood-600mm-x-300mm-sheet" TargetMode="External"/><Relationship Id="rId4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80"/>
    <col collapsed="false" customWidth="true" hidden="false" outlineLevel="0" max="11" min="11" style="0" width="22"/>
    <col collapsed="false" customWidth="true" hidden="false" outlineLevel="0" max="12" min="12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6.25" hidden="false" customHeight="false" outlineLevel="0" collapsed="false">
      <c r="A2" s="2" t="s">
        <v>12</v>
      </c>
      <c r="B2" s="3" t="s">
        <v>13</v>
      </c>
      <c r="C2" s="4" t="s">
        <v>14</v>
      </c>
      <c r="D2" s="4" t="n">
        <v>3</v>
      </c>
      <c r="E2" s="4" t="n">
        <v>600</v>
      </c>
      <c r="F2" s="4" t="n">
        <v>400</v>
      </c>
      <c r="G2" s="5" t="n">
        <v>3.9</v>
      </c>
      <c r="H2" s="6" t="n">
        <f aca="false">ROUND(G2*1.2,2)</f>
        <v>4.68</v>
      </c>
      <c r="I2" s="6" t="n">
        <f aca="false">IF(AND(ISNUMBER(E2),ISNUMBER(F2)),ROUND(G2/(E2*F2/1000000),2),"")</f>
        <v>16.25</v>
      </c>
      <c r="J2" s="3" t="s">
        <v>15</v>
      </c>
      <c r="K2" s="4" t="s">
        <v>16</v>
      </c>
      <c r="L2" s="7" t="s">
        <v>17</v>
      </c>
    </row>
    <row r="3" customFormat="false" ht="46.25" hidden="false" customHeight="false" outlineLevel="0" collapsed="false">
      <c r="A3" s="2" t="s">
        <v>18</v>
      </c>
      <c r="B3" s="3" t="s">
        <v>19</v>
      </c>
      <c r="C3" s="4" t="s">
        <v>14</v>
      </c>
      <c r="D3" s="4" t="n">
        <v>4</v>
      </c>
      <c r="E3" s="4" t="n">
        <v>600</v>
      </c>
      <c r="F3" s="4" t="n">
        <v>400</v>
      </c>
      <c r="G3" s="5" t="n">
        <v>4.7</v>
      </c>
      <c r="H3" s="6" t="n">
        <f aca="false">ROUND(G3*1.2,2)</f>
        <v>5.64</v>
      </c>
      <c r="I3" s="6" t="n">
        <f aca="false">IF(AND(ISNUMBER(E3),ISNUMBER(F3)),ROUND(G3/(E3*F3/1000000),2),"")</f>
        <v>19.58</v>
      </c>
      <c r="J3" s="3" t="s">
        <v>15</v>
      </c>
      <c r="K3" s="4" t="s">
        <v>20</v>
      </c>
      <c r="L3" s="7" t="s">
        <v>21</v>
      </c>
    </row>
    <row r="4" customFormat="false" ht="46.25" hidden="false" customHeight="false" outlineLevel="0" collapsed="false">
      <c r="A4" s="2" t="s">
        <v>22</v>
      </c>
      <c r="B4" s="3" t="s">
        <v>23</v>
      </c>
      <c r="C4" s="4" t="s">
        <v>14</v>
      </c>
      <c r="D4" s="4" t="n">
        <v>6</v>
      </c>
      <c r="E4" s="4" t="n">
        <v>600</v>
      </c>
      <c r="F4" s="4" t="n">
        <v>400</v>
      </c>
      <c r="G4" s="5" t="n">
        <v>5.9</v>
      </c>
      <c r="H4" s="6" t="n">
        <f aca="false">ROUND(G4*1.2,2)</f>
        <v>7.08</v>
      </c>
      <c r="I4" s="6" t="n">
        <f aca="false">IF(AND(ISNUMBER(E4),ISNUMBER(F4)),ROUND(G4/(E4*F4/1000000),2),"")</f>
        <v>24.58</v>
      </c>
      <c r="J4" s="3" t="s">
        <v>15</v>
      </c>
      <c r="K4" s="4" t="s">
        <v>20</v>
      </c>
      <c r="L4" s="7" t="s">
        <v>24</v>
      </c>
    </row>
    <row r="5" customFormat="false" ht="46.25" hidden="false" customHeight="false" outlineLevel="0" collapsed="false">
      <c r="A5" s="2" t="s">
        <v>25</v>
      </c>
      <c r="B5" s="3" t="s">
        <v>26</v>
      </c>
      <c r="C5" s="4" t="s">
        <v>14</v>
      </c>
      <c r="D5" s="4" t="n">
        <v>3</v>
      </c>
      <c r="E5" s="4" t="n">
        <v>300</v>
      </c>
      <c r="F5" s="4" t="n">
        <v>200</v>
      </c>
      <c r="G5" s="5" t="n">
        <v>1.1</v>
      </c>
      <c r="H5" s="6" t="n">
        <f aca="false">ROUND(G5*1.2,2)</f>
        <v>1.32</v>
      </c>
      <c r="I5" s="6" t="n">
        <f aca="false">IF(AND(ISNUMBER(E5),ISNUMBER(F5)),ROUND(G5/(E5*F5/1000000),2),"")</f>
        <v>18.33</v>
      </c>
      <c r="J5" s="3" t="s">
        <v>15</v>
      </c>
      <c r="K5" s="4" t="s">
        <v>20</v>
      </c>
      <c r="L5" s="7" t="s">
        <v>27</v>
      </c>
    </row>
    <row r="6" customFormat="false" ht="46.25" hidden="false" customHeight="false" outlineLevel="0" collapsed="false">
      <c r="A6" s="2" t="s">
        <v>28</v>
      </c>
      <c r="B6" s="3" t="s">
        <v>29</v>
      </c>
      <c r="C6" s="4" t="s">
        <v>14</v>
      </c>
      <c r="D6" s="4" t="n">
        <v>3</v>
      </c>
      <c r="E6" s="4" t="n">
        <v>400</v>
      </c>
      <c r="F6" s="4" t="n">
        <v>300</v>
      </c>
      <c r="G6" s="5" t="n">
        <v>2.25</v>
      </c>
      <c r="H6" s="6" t="n">
        <f aca="false">ROUND(G6*1.2,2)</f>
        <v>2.7</v>
      </c>
      <c r="I6" s="6" t="n">
        <f aca="false">IF(AND(ISNUMBER(E6),ISNUMBER(F6)),ROUND(G6/(E6*F6/1000000),2),"")</f>
        <v>18.75</v>
      </c>
      <c r="J6" s="3" t="s">
        <v>15</v>
      </c>
      <c r="K6" s="4" t="s">
        <v>20</v>
      </c>
      <c r="L6" s="7" t="s">
        <v>30</v>
      </c>
    </row>
    <row r="7" customFormat="false" ht="46.25" hidden="false" customHeight="false" outlineLevel="0" collapsed="false">
      <c r="A7" s="2" t="s">
        <v>31</v>
      </c>
      <c r="B7" s="3" t="s">
        <v>32</v>
      </c>
      <c r="C7" s="4" t="s">
        <v>14</v>
      </c>
      <c r="D7" s="4" t="n">
        <v>3</v>
      </c>
      <c r="E7" s="4" t="n">
        <v>600</v>
      </c>
      <c r="F7" s="4" t="n">
        <v>300</v>
      </c>
      <c r="G7" s="5" t="n">
        <v>2.95</v>
      </c>
      <c r="H7" s="6" t="n">
        <f aca="false">ROUND(G7*1.2,2)</f>
        <v>3.54</v>
      </c>
      <c r="I7" s="6" t="n">
        <f aca="false">IF(AND(ISNUMBER(E7),ISNUMBER(F7)),ROUND(G7/(E7*F7/1000000),2),"")</f>
        <v>16.39</v>
      </c>
      <c r="J7" s="3" t="s">
        <v>15</v>
      </c>
      <c r="K7" s="4" t="s">
        <v>20</v>
      </c>
      <c r="L7" s="7" t="s">
        <v>33</v>
      </c>
    </row>
    <row r="8" customFormat="false" ht="46.25" hidden="false" customHeight="false" outlineLevel="0" collapsed="false">
      <c r="A8" s="2" t="s">
        <v>34</v>
      </c>
      <c r="B8" s="3" t="s">
        <v>35</v>
      </c>
      <c r="C8" s="4" t="s">
        <v>14</v>
      </c>
      <c r="D8" s="4" t="n">
        <v>3</v>
      </c>
      <c r="E8" s="4" t="n">
        <v>800</v>
      </c>
      <c r="F8" s="4" t="n">
        <v>600</v>
      </c>
      <c r="G8" s="5" t="n">
        <v>7.65</v>
      </c>
      <c r="H8" s="6" t="n">
        <f aca="false">ROUND(G8*1.2,2)</f>
        <v>9.18</v>
      </c>
      <c r="I8" s="6" t="n">
        <f aca="false">IF(AND(ISNUMBER(E8),ISNUMBER(F8)),ROUND(G8/(E8*F8/1000000),2),"")</f>
        <v>15.94</v>
      </c>
      <c r="J8" s="3" t="s">
        <v>15</v>
      </c>
      <c r="K8" s="4" t="s">
        <v>20</v>
      </c>
      <c r="L8" s="7" t="s">
        <v>36</v>
      </c>
    </row>
    <row r="9" customFormat="false" ht="46.25" hidden="false" customHeight="false" outlineLevel="0" collapsed="false">
      <c r="A9" s="2" t="s">
        <v>37</v>
      </c>
      <c r="B9" s="3" t="s">
        <v>38</v>
      </c>
      <c r="C9" s="4" t="s">
        <v>14</v>
      </c>
      <c r="D9" s="4" t="n">
        <v>6</v>
      </c>
      <c r="E9" s="4" t="n">
        <v>800</v>
      </c>
      <c r="F9" s="4" t="n">
        <v>600</v>
      </c>
      <c r="G9" s="5" t="n">
        <v>11.5</v>
      </c>
      <c r="H9" s="6" t="n">
        <f aca="false">ROUND(G9*1.2,2)</f>
        <v>13.8</v>
      </c>
      <c r="I9" s="6" t="n">
        <f aca="false">IF(AND(ISNUMBER(E9),ISNUMBER(F9)),ROUND(G9/(E9*F9/1000000),2),"")</f>
        <v>23.96</v>
      </c>
      <c r="J9" s="3" t="s">
        <v>15</v>
      </c>
      <c r="K9" s="4" t="s">
        <v>20</v>
      </c>
      <c r="L9" s="7" t="s">
        <v>39</v>
      </c>
    </row>
    <row r="10" customFormat="false" ht="46.25" hidden="false" customHeight="false" outlineLevel="0" collapsed="false">
      <c r="A10" s="2" t="s">
        <v>40</v>
      </c>
      <c r="B10" s="3" t="s">
        <v>41</v>
      </c>
      <c r="C10" s="4" t="s">
        <v>14</v>
      </c>
      <c r="D10" s="4" t="n">
        <v>6</v>
      </c>
      <c r="E10" s="4" t="n">
        <v>600</v>
      </c>
      <c r="F10" s="4" t="n">
        <v>300</v>
      </c>
      <c r="G10" s="5" t="n">
        <v>4.65</v>
      </c>
      <c r="H10" s="6" t="n">
        <f aca="false">ROUND(G10*1.2,2)</f>
        <v>5.58</v>
      </c>
      <c r="I10" s="6" t="n">
        <f aca="false">IF(AND(ISNUMBER(E10),ISNUMBER(F10)),ROUND(G10/(E10*F10/1000000),2),"")</f>
        <v>25.83</v>
      </c>
      <c r="J10" s="3" t="s">
        <v>15</v>
      </c>
      <c r="K10" s="4" t="s">
        <v>20</v>
      </c>
      <c r="L10" s="7" t="s">
        <v>42</v>
      </c>
    </row>
    <row r="11" customFormat="false" ht="46.25" hidden="false" customHeight="false" outlineLevel="0" collapsed="false">
      <c r="A11" s="2" t="s">
        <v>43</v>
      </c>
      <c r="B11" s="3" t="s">
        <v>44</v>
      </c>
      <c r="C11" s="4" t="s">
        <v>14</v>
      </c>
      <c r="D11" s="4" t="n">
        <v>4</v>
      </c>
      <c r="E11" s="4" t="n">
        <v>400</v>
      </c>
      <c r="F11" s="4" t="n">
        <v>300</v>
      </c>
      <c r="G11" s="5" t="n">
        <v>2.65</v>
      </c>
      <c r="H11" s="6" t="n">
        <f aca="false">ROUND(G11*1.2,2)</f>
        <v>3.18</v>
      </c>
      <c r="I11" s="6" t="n">
        <f aca="false">IF(AND(ISNUMBER(E11),ISNUMBER(F11)),ROUND(G11/(E11*F11/1000000),2),"")</f>
        <v>22.08</v>
      </c>
      <c r="J11" s="3" t="s">
        <v>15</v>
      </c>
      <c r="K11" s="4" t="s">
        <v>20</v>
      </c>
      <c r="L11" s="7" t="s">
        <v>45</v>
      </c>
    </row>
    <row r="12" customFormat="false" ht="35.05" hidden="false" customHeight="false" outlineLevel="0" collapsed="false">
      <c r="A12" s="2" t="s">
        <v>46</v>
      </c>
      <c r="B12" s="3" t="s">
        <v>47</v>
      </c>
      <c r="C12" s="4" t="s">
        <v>48</v>
      </c>
      <c r="D12" s="4" t="n">
        <v>3</v>
      </c>
      <c r="E12" s="4" t="n">
        <v>600</v>
      </c>
      <c r="F12" s="4" t="n">
        <v>400</v>
      </c>
      <c r="G12" s="5" t="n">
        <v>6.2</v>
      </c>
      <c r="H12" s="6" t="n">
        <f aca="false">ROUND(G12*1.2,2)</f>
        <v>7.44</v>
      </c>
      <c r="I12" s="6" t="n">
        <f aca="false">IF(AND(ISNUMBER(E12),ISNUMBER(F12)),ROUND(G12/(E12*F12/1000000),2),"")</f>
        <v>25.83</v>
      </c>
      <c r="J12" s="3" t="s">
        <v>49</v>
      </c>
      <c r="K12" s="4" t="s">
        <v>20</v>
      </c>
      <c r="L12" s="7" t="s">
        <v>50</v>
      </c>
    </row>
    <row r="13" customFormat="false" ht="46.25" hidden="false" customHeight="false" outlineLevel="0" collapsed="false">
      <c r="A13" s="2" t="s">
        <v>51</v>
      </c>
      <c r="B13" s="3" t="s">
        <v>52</v>
      </c>
      <c r="C13" s="4" t="s">
        <v>14</v>
      </c>
      <c r="D13" s="4" t="n">
        <v>3</v>
      </c>
      <c r="E13" s="4" t="n">
        <v>400</v>
      </c>
      <c r="F13" s="4" t="n">
        <v>400</v>
      </c>
      <c r="G13" s="5" t="n">
        <v>3</v>
      </c>
      <c r="H13" s="6" t="n">
        <f aca="false">ROUND(G13*1.2,2)</f>
        <v>3.6</v>
      </c>
      <c r="I13" s="6" t="n">
        <f aca="false">IF(AND(ISNUMBER(E13),ISNUMBER(F13)),ROUND(G13/(E13*F13/1000000),2),"")</f>
        <v>18.75</v>
      </c>
      <c r="J13" s="3" t="s">
        <v>15</v>
      </c>
      <c r="K13" s="4" t="s">
        <v>20</v>
      </c>
      <c r="L13" s="7" t="s">
        <v>53</v>
      </c>
    </row>
    <row r="14" customFormat="false" ht="46.25" hidden="false" customHeight="false" outlineLevel="0" collapsed="false">
      <c r="A14" s="2" t="s">
        <v>54</v>
      </c>
      <c r="B14" s="3" t="s">
        <v>55</v>
      </c>
      <c r="C14" s="4" t="s">
        <v>14</v>
      </c>
      <c r="D14" s="4" t="n">
        <v>6</v>
      </c>
      <c r="E14" s="4" t="n">
        <v>400</v>
      </c>
      <c r="F14" s="4" t="n">
        <v>300</v>
      </c>
      <c r="G14" s="5" t="n">
        <v>3.1</v>
      </c>
      <c r="H14" s="6" t="n">
        <f aca="false">ROUND(G14*1.2,2)</f>
        <v>3.72</v>
      </c>
      <c r="I14" s="6" t="n">
        <f aca="false">IF(AND(ISNUMBER(E14),ISNUMBER(F14)),ROUND(G14/(E14*F14/1000000),2),"")</f>
        <v>25.83</v>
      </c>
      <c r="J14" s="3" t="s">
        <v>15</v>
      </c>
      <c r="K14" s="4" t="s">
        <v>20</v>
      </c>
      <c r="L14" s="7" t="s">
        <v>56</v>
      </c>
    </row>
    <row r="15" customFormat="false" ht="46.25" hidden="false" customHeight="false" outlineLevel="0" collapsed="false">
      <c r="A15" s="2" t="s">
        <v>57</v>
      </c>
      <c r="B15" s="3" t="s">
        <v>58</v>
      </c>
      <c r="C15" s="4" t="s">
        <v>14</v>
      </c>
      <c r="D15" s="4" t="n">
        <v>4</v>
      </c>
      <c r="E15" s="4" t="n">
        <v>600</v>
      </c>
      <c r="F15" s="4" t="n">
        <v>300</v>
      </c>
      <c r="G15" s="5" t="n">
        <v>3.65</v>
      </c>
      <c r="H15" s="6" t="n">
        <f aca="false">ROUND(G15*1.2,2)</f>
        <v>4.38</v>
      </c>
      <c r="I15" s="6" t="n">
        <f aca="false">IF(AND(ISNUMBER(E15),ISNUMBER(F15)),ROUND(G15/(E15*F15/1000000),2),"")</f>
        <v>20.28</v>
      </c>
      <c r="J15" s="3" t="s">
        <v>15</v>
      </c>
      <c r="K15" s="4" t="s">
        <v>20</v>
      </c>
      <c r="L15" s="7" t="s">
        <v>59</v>
      </c>
    </row>
    <row r="16" customFormat="false" ht="46.25" hidden="false" customHeight="false" outlineLevel="0" collapsed="false">
      <c r="A16" s="2" t="s">
        <v>60</v>
      </c>
      <c r="B16" s="3" t="s">
        <v>61</v>
      </c>
      <c r="C16" s="4" t="s">
        <v>14</v>
      </c>
      <c r="D16" s="4" t="n">
        <v>9</v>
      </c>
      <c r="E16" s="4" t="n">
        <v>600</v>
      </c>
      <c r="F16" s="4" t="n">
        <v>400</v>
      </c>
      <c r="G16" s="5" t="n">
        <v>8.8</v>
      </c>
      <c r="H16" s="6" t="n">
        <f aca="false">ROUND(G16*1.2,2)</f>
        <v>10.56</v>
      </c>
      <c r="I16" s="6" t="n">
        <f aca="false">IF(AND(ISNUMBER(E16),ISNUMBER(F16)),ROUND(G16/(E16*F16/1000000),2),"")</f>
        <v>36.67</v>
      </c>
      <c r="J16" s="3" t="s">
        <v>15</v>
      </c>
      <c r="K16" s="4" t="s">
        <v>20</v>
      </c>
      <c r="L16" s="7" t="s">
        <v>62</v>
      </c>
    </row>
    <row r="17" customFormat="false" ht="35.05" hidden="false" customHeight="false" outlineLevel="0" collapsed="false">
      <c r="A17" s="2" t="s">
        <v>63</v>
      </c>
      <c r="B17" s="3" t="s">
        <v>64</v>
      </c>
      <c r="C17" s="4" t="s">
        <v>65</v>
      </c>
      <c r="D17" s="4" t="n">
        <v>3</v>
      </c>
      <c r="E17" s="4" t="n">
        <v>600</v>
      </c>
      <c r="F17" s="4" t="n">
        <v>400</v>
      </c>
      <c r="G17" s="5" t="n">
        <v>4.95</v>
      </c>
      <c r="H17" s="6" t="n">
        <f aca="false">ROUND(G17*1.2,2)</f>
        <v>5.94</v>
      </c>
      <c r="I17" s="6" t="n">
        <f aca="false">IF(AND(ISNUMBER(E17),ISNUMBER(F17)),ROUND(G17/(E17*F17/1000000),2),"")</f>
        <v>20.63</v>
      </c>
      <c r="J17" s="3" t="s">
        <v>66</v>
      </c>
      <c r="K17" s="4" t="s">
        <v>16</v>
      </c>
      <c r="L17" s="7" t="s">
        <v>67</v>
      </c>
    </row>
    <row r="18" customFormat="false" ht="46.25" hidden="false" customHeight="false" outlineLevel="0" collapsed="false">
      <c r="A18" s="2" t="s">
        <v>68</v>
      </c>
      <c r="B18" s="3" t="s">
        <v>69</v>
      </c>
      <c r="C18" s="4" t="s">
        <v>14</v>
      </c>
      <c r="D18" s="4" t="n">
        <v>4</v>
      </c>
      <c r="E18" s="4" t="n">
        <v>800</v>
      </c>
      <c r="F18" s="4" t="n">
        <v>600</v>
      </c>
      <c r="G18" s="5" t="n">
        <v>9.9</v>
      </c>
      <c r="H18" s="6" t="n">
        <f aca="false">ROUND(G18*1.2,2)</f>
        <v>11.88</v>
      </c>
      <c r="I18" s="6" t="n">
        <f aca="false">IF(AND(ISNUMBER(E18),ISNUMBER(F18)),ROUND(G18/(E18*F18/1000000),2),"")</f>
        <v>20.63</v>
      </c>
      <c r="J18" s="3" t="s">
        <v>15</v>
      </c>
      <c r="K18" s="4" t="s">
        <v>20</v>
      </c>
      <c r="L18" s="7" t="s">
        <v>70</v>
      </c>
    </row>
    <row r="19" customFormat="false" ht="46.25" hidden="false" customHeight="false" outlineLevel="0" collapsed="false">
      <c r="A19" s="2" t="s">
        <v>71</v>
      </c>
      <c r="B19" s="3" t="s">
        <v>72</v>
      </c>
      <c r="C19" s="4" t="s">
        <v>73</v>
      </c>
      <c r="D19" s="4" t="n">
        <v>1.5</v>
      </c>
      <c r="E19" s="4" t="n">
        <v>600</v>
      </c>
      <c r="F19" s="4" t="n">
        <v>400</v>
      </c>
      <c r="G19" s="5" t="n">
        <v>9</v>
      </c>
      <c r="H19" s="6" t="n">
        <f aca="false">ROUND(G19*1.2,2)</f>
        <v>10.8</v>
      </c>
      <c r="I19" s="6" t="n">
        <f aca="false">IF(AND(ISNUMBER(E19),ISNUMBER(F19)),ROUND(G19/(E19*F19/1000000),2),"")</f>
        <v>37.5</v>
      </c>
      <c r="J19" s="3" t="s">
        <v>74</v>
      </c>
      <c r="K19" s="4" t="s">
        <v>20</v>
      </c>
      <c r="L19" s="7" t="s">
        <v>75</v>
      </c>
    </row>
    <row r="20" customFormat="false" ht="46.25" hidden="false" customHeight="false" outlineLevel="0" collapsed="false">
      <c r="A20" s="2" t="s">
        <v>76</v>
      </c>
      <c r="B20" s="3" t="s">
        <v>77</v>
      </c>
      <c r="C20" s="4" t="s">
        <v>73</v>
      </c>
      <c r="D20" s="4" t="n">
        <v>0.8</v>
      </c>
      <c r="E20" s="4" t="n">
        <v>600</v>
      </c>
      <c r="F20" s="4" t="n">
        <v>400</v>
      </c>
      <c r="G20" s="5" t="n">
        <v>10.5</v>
      </c>
      <c r="H20" s="6" t="n">
        <f aca="false">ROUND(G20*1.2,2)</f>
        <v>12.6</v>
      </c>
      <c r="I20" s="6" t="n">
        <f aca="false">IF(AND(ISNUMBER(E20),ISNUMBER(F20)),ROUND(G20/(E20*F20/1000000),2),"")</f>
        <v>43.75</v>
      </c>
      <c r="J20" s="3" t="s">
        <v>74</v>
      </c>
      <c r="K20" s="4" t="s">
        <v>20</v>
      </c>
      <c r="L20" s="7" t="s">
        <v>78</v>
      </c>
    </row>
    <row r="21" customFormat="false" ht="46.25" hidden="false" customHeight="false" outlineLevel="0" collapsed="false">
      <c r="A21" s="2" t="s">
        <v>79</v>
      </c>
      <c r="B21" s="3" t="s">
        <v>80</v>
      </c>
      <c r="C21" s="4" t="s">
        <v>81</v>
      </c>
      <c r="D21" s="4" t="n">
        <v>3</v>
      </c>
      <c r="E21" s="4" t="n">
        <v>600</v>
      </c>
      <c r="F21" s="4" t="n">
        <v>400</v>
      </c>
      <c r="G21" s="5" t="n">
        <v>3.65</v>
      </c>
      <c r="H21" s="6" t="n">
        <f aca="false">ROUND(G21*1.2,2)</f>
        <v>4.38</v>
      </c>
      <c r="I21" s="6" t="n">
        <f aca="false">IF(AND(ISNUMBER(E21),ISNUMBER(F21)),ROUND(G21/(E21*F21/1000000),2),"")</f>
        <v>15.21</v>
      </c>
      <c r="J21" s="3" t="s">
        <v>82</v>
      </c>
      <c r="K21" s="4" t="s">
        <v>16</v>
      </c>
      <c r="L21" s="7" t="s">
        <v>83</v>
      </c>
    </row>
    <row r="22" customFormat="false" ht="35.05" hidden="false" customHeight="false" outlineLevel="0" collapsed="false">
      <c r="A22" s="2" t="s">
        <v>84</v>
      </c>
      <c r="B22" s="3" t="s">
        <v>85</v>
      </c>
      <c r="C22" s="4" t="s">
        <v>48</v>
      </c>
      <c r="D22" s="4" t="n">
        <v>3</v>
      </c>
      <c r="E22" s="4" t="n">
        <v>800</v>
      </c>
      <c r="F22" s="4" t="n">
        <v>600</v>
      </c>
      <c r="G22" s="5" t="n">
        <v>12</v>
      </c>
      <c r="H22" s="6" t="n">
        <f aca="false">ROUND(G22*1.2,2)</f>
        <v>14.4</v>
      </c>
      <c r="I22" s="6" t="n">
        <f aca="false">IF(AND(ISNUMBER(E22),ISNUMBER(F22)),ROUND(G22/(E22*F22/1000000),2),"")</f>
        <v>25</v>
      </c>
      <c r="J22" s="3" t="s">
        <v>49</v>
      </c>
      <c r="K22" s="4" t="s">
        <v>20</v>
      </c>
      <c r="L22" s="7" t="s">
        <v>86</v>
      </c>
    </row>
    <row r="23" customFormat="false" ht="46.25" hidden="false" customHeight="false" outlineLevel="0" collapsed="false">
      <c r="A23" s="2" t="s">
        <v>87</v>
      </c>
      <c r="B23" s="3" t="s">
        <v>88</v>
      </c>
      <c r="C23" s="4" t="s">
        <v>89</v>
      </c>
      <c r="D23" s="4" t="n">
        <v>2</v>
      </c>
      <c r="E23" s="4" t="n">
        <v>600</v>
      </c>
      <c r="F23" s="4" t="n">
        <v>400</v>
      </c>
      <c r="G23" s="5" t="n">
        <v>3.95</v>
      </c>
      <c r="H23" s="6" t="n">
        <f aca="false">ROUND(G23*1.2,2)</f>
        <v>4.74</v>
      </c>
      <c r="I23" s="6" t="n">
        <f aca="false">IF(AND(ISNUMBER(E23),ISNUMBER(F23)),ROUND(G23/(E23*F23/1000000),2),"")</f>
        <v>16.46</v>
      </c>
      <c r="J23" s="3" t="s">
        <v>90</v>
      </c>
      <c r="K23" s="4" t="s">
        <v>16</v>
      </c>
      <c r="L23" s="7" t="s">
        <v>91</v>
      </c>
    </row>
    <row r="24" customFormat="false" ht="46.25" hidden="false" customHeight="false" outlineLevel="0" collapsed="false">
      <c r="A24" s="2" t="s">
        <v>92</v>
      </c>
      <c r="B24" s="3" t="s">
        <v>93</v>
      </c>
      <c r="C24" s="4" t="s">
        <v>73</v>
      </c>
      <c r="D24" s="4" t="n">
        <v>1.5</v>
      </c>
      <c r="E24" s="4" t="n">
        <v>600</v>
      </c>
      <c r="F24" s="4" t="n">
        <v>300</v>
      </c>
      <c r="G24" s="5" t="n">
        <v>6.85</v>
      </c>
      <c r="H24" s="6" t="n">
        <f aca="false">ROUND(G24*1.2,2)</f>
        <v>8.22</v>
      </c>
      <c r="I24" s="6" t="n">
        <f aca="false">IF(AND(ISNUMBER(E24),ISNUMBER(F24)),ROUND(G24/(E24*F24/1000000),2),"")</f>
        <v>38.06</v>
      </c>
      <c r="J24" s="3" t="s">
        <v>74</v>
      </c>
      <c r="K24" s="4" t="s">
        <v>20</v>
      </c>
      <c r="L24" s="7" t="s">
        <v>94</v>
      </c>
    </row>
    <row r="25" customFormat="false" ht="46.25" hidden="false" customHeight="false" outlineLevel="0" collapsed="false">
      <c r="A25" s="2" t="s">
        <v>95</v>
      </c>
      <c r="B25" s="3" t="s">
        <v>96</v>
      </c>
      <c r="C25" s="4" t="s">
        <v>73</v>
      </c>
      <c r="D25" s="4" t="n">
        <v>3</v>
      </c>
      <c r="E25" s="4" t="n">
        <v>600</v>
      </c>
      <c r="F25" s="4" t="n">
        <v>400</v>
      </c>
      <c r="G25" s="5" t="n">
        <v>14.75</v>
      </c>
      <c r="H25" s="6" t="n">
        <f aca="false">ROUND(G25*1.2,2)</f>
        <v>17.7</v>
      </c>
      <c r="I25" s="6" t="n">
        <f aca="false">IF(AND(ISNUMBER(E25),ISNUMBER(F25)),ROUND(G25/(E25*F25/1000000),2),"")</f>
        <v>61.46</v>
      </c>
      <c r="J25" s="3" t="s">
        <v>74</v>
      </c>
      <c r="K25" s="4" t="s">
        <v>16</v>
      </c>
      <c r="L25" s="7" t="s">
        <v>97</v>
      </c>
    </row>
    <row r="26" customFormat="false" ht="46.25" hidden="false" customHeight="false" outlineLevel="0" collapsed="false">
      <c r="A26" s="2" t="s">
        <v>98</v>
      </c>
      <c r="B26" s="3" t="s">
        <v>99</v>
      </c>
      <c r="C26" s="4" t="s">
        <v>73</v>
      </c>
      <c r="D26" s="4" t="n">
        <v>3</v>
      </c>
      <c r="E26" s="4" t="n">
        <v>400</v>
      </c>
      <c r="F26" s="4" t="n">
        <v>300</v>
      </c>
      <c r="G26" s="5" t="n">
        <v>7.5</v>
      </c>
      <c r="H26" s="6" t="n">
        <f aca="false">ROUND(G26*1.2,2)</f>
        <v>9</v>
      </c>
      <c r="I26" s="6" t="n">
        <f aca="false">IF(AND(ISNUMBER(E26),ISNUMBER(F26)),ROUND(G26/(E26*F26/1000000),2),"")</f>
        <v>62.5</v>
      </c>
      <c r="J26" s="3" t="s">
        <v>74</v>
      </c>
      <c r="K26" s="4" t="s">
        <v>20</v>
      </c>
      <c r="L26" s="7" t="s">
        <v>100</v>
      </c>
    </row>
    <row r="27" customFormat="false" ht="35.05" hidden="false" customHeight="false" outlineLevel="0" collapsed="false">
      <c r="A27" s="2" t="s">
        <v>101</v>
      </c>
      <c r="B27" s="3" t="s">
        <v>102</v>
      </c>
      <c r="C27" s="4" t="s">
        <v>48</v>
      </c>
      <c r="D27" s="4" t="n">
        <v>6</v>
      </c>
      <c r="E27" s="4" t="n">
        <v>600</v>
      </c>
      <c r="F27" s="4" t="n">
        <v>400</v>
      </c>
      <c r="G27" s="5" t="n">
        <v>9.5</v>
      </c>
      <c r="H27" s="6" t="n">
        <f aca="false">ROUND(G27*1.2,2)</f>
        <v>11.4</v>
      </c>
      <c r="I27" s="6" t="n">
        <f aca="false">IF(AND(ISNUMBER(E27),ISNUMBER(F27)),ROUND(G27/(E27*F27/1000000),2),"")</f>
        <v>39.58</v>
      </c>
      <c r="J27" s="3" t="s">
        <v>49</v>
      </c>
      <c r="K27" s="4" t="s">
        <v>20</v>
      </c>
      <c r="L27" s="7" t="s">
        <v>103</v>
      </c>
    </row>
    <row r="28" customFormat="false" ht="35.05" hidden="false" customHeight="false" outlineLevel="0" collapsed="false">
      <c r="A28" s="2" t="s">
        <v>104</v>
      </c>
      <c r="B28" s="3" t="s">
        <v>105</v>
      </c>
      <c r="C28" s="4" t="s">
        <v>48</v>
      </c>
      <c r="D28" s="4" t="n">
        <v>3</v>
      </c>
      <c r="E28" s="4" t="n">
        <v>600</v>
      </c>
      <c r="F28" s="4" t="n">
        <v>300</v>
      </c>
      <c r="G28" s="5" t="n">
        <v>4.7</v>
      </c>
      <c r="H28" s="6" t="n">
        <f aca="false">ROUND(G28*1.2,2)</f>
        <v>5.64</v>
      </c>
      <c r="I28" s="6" t="n">
        <f aca="false">IF(AND(ISNUMBER(E28),ISNUMBER(F28)),ROUND(G28/(E28*F28/1000000),2),"")</f>
        <v>26.11</v>
      </c>
      <c r="J28" s="3" t="s">
        <v>49</v>
      </c>
      <c r="K28" s="4" t="s">
        <v>20</v>
      </c>
      <c r="L28" s="7" t="s">
        <v>106</v>
      </c>
    </row>
    <row r="29" customFormat="false" ht="46.25" hidden="false" customHeight="false" outlineLevel="0" collapsed="false">
      <c r="A29" s="2" t="s">
        <v>107</v>
      </c>
      <c r="B29" s="3" t="s">
        <v>108</v>
      </c>
      <c r="C29" s="4" t="s">
        <v>89</v>
      </c>
      <c r="D29" s="4" t="n">
        <v>2</v>
      </c>
      <c r="E29" s="4" t="n">
        <v>600</v>
      </c>
      <c r="F29" s="4" t="n">
        <v>300</v>
      </c>
      <c r="G29" s="5" t="n">
        <v>2.95</v>
      </c>
      <c r="H29" s="6" t="n">
        <f aca="false">ROUND(G29*1.2,2)</f>
        <v>3.54</v>
      </c>
      <c r="I29" s="6" t="n">
        <f aca="false">IF(AND(ISNUMBER(E29),ISNUMBER(F29)),ROUND(G29/(E29*F29/1000000),2),"")</f>
        <v>16.39</v>
      </c>
      <c r="J29" s="3" t="s">
        <v>90</v>
      </c>
      <c r="K29" s="4" t="s">
        <v>20</v>
      </c>
      <c r="L29" s="7" t="s">
        <v>109</v>
      </c>
    </row>
    <row r="30" customFormat="false" ht="46.25" hidden="false" customHeight="false" outlineLevel="0" collapsed="false">
      <c r="A30" s="2" t="s">
        <v>110</v>
      </c>
      <c r="B30" s="3" t="s">
        <v>111</v>
      </c>
      <c r="C30" s="4" t="s">
        <v>73</v>
      </c>
      <c r="D30" s="4" t="n">
        <v>2</v>
      </c>
      <c r="E30" s="4" t="n">
        <v>600</v>
      </c>
      <c r="F30" s="4" t="n">
        <v>400</v>
      </c>
      <c r="G30" s="5" t="n">
        <v>12.75</v>
      </c>
      <c r="H30" s="6" t="n">
        <f aca="false">ROUND(G30*1.2,2)</f>
        <v>15.3</v>
      </c>
      <c r="I30" s="6" t="n">
        <f aca="false">IF(AND(ISNUMBER(E30),ISNUMBER(F30)),ROUND(G30/(E30*F30/1000000),2),"")</f>
        <v>53.13</v>
      </c>
      <c r="J30" s="3" t="s">
        <v>74</v>
      </c>
      <c r="K30" s="4" t="s">
        <v>20</v>
      </c>
      <c r="L30" s="7" t="s">
        <v>112</v>
      </c>
    </row>
    <row r="31" customFormat="false" ht="46.25" hidden="false" customHeight="false" outlineLevel="0" collapsed="false">
      <c r="A31" s="2" t="s">
        <v>113</v>
      </c>
      <c r="B31" s="3" t="s">
        <v>114</v>
      </c>
      <c r="C31" s="4" t="s">
        <v>73</v>
      </c>
      <c r="D31" s="4" t="n">
        <v>1.5</v>
      </c>
      <c r="E31" s="4" t="n">
        <v>400</v>
      </c>
      <c r="F31" s="4" t="n">
        <v>300</v>
      </c>
      <c r="G31" s="5" t="n">
        <v>4.6</v>
      </c>
      <c r="H31" s="6" t="n">
        <f aca="false">ROUND(G31*1.2,2)</f>
        <v>5.52</v>
      </c>
      <c r="I31" s="6" t="n">
        <f aca="false">IF(AND(ISNUMBER(E31),ISNUMBER(F31)),ROUND(G31/(E31*F31/1000000),2),"")</f>
        <v>38.33</v>
      </c>
      <c r="J31" s="3" t="s">
        <v>74</v>
      </c>
      <c r="K31" s="4" t="s">
        <v>20</v>
      </c>
      <c r="L31" s="7" t="s">
        <v>115</v>
      </c>
    </row>
    <row r="32" customFormat="false" ht="46.25" hidden="false" customHeight="false" outlineLevel="0" collapsed="false">
      <c r="A32" s="2" t="s">
        <v>116</v>
      </c>
      <c r="B32" s="3" t="s">
        <v>117</v>
      </c>
      <c r="C32" s="4" t="s">
        <v>89</v>
      </c>
      <c r="D32" s="4" t="n">
        <v>2</v>
      </c>
      <c r="E32" s="4" t="n">
        <v>400</v>
      </c>
      <c r="F32" s="4" t="n">
        <v>300</v>
      </c>
      <c r="G32" s="5" t="n">
        <v>2</v>
      </c>
      <c r="H32" s="6" t="n">
        <f aca="false">ROUND(G32*1.2,2)</f>
        <v>2.4</v>
      </c>
      <c r="I32" s="6" t="n">
        <f aca="false">IF(AND(ISNUMBER(E32),ISNUMBER(F32)),ROUND(G32/(E32*F32/1000000),2),"")</f>
        <v>16.67</v>
      </c>
      <c r="J32" s="3" t="s">
        <v>90</v>
      </c>
      <c r="K32" s="4" t="s">
        <v>20</v>
      </c>
      <c r="L32" s="7" t="s">
        <v>118</v>
      </c>
    </row>
    <row r="33" customFormat="false" ht="46.25" hidden="false" customHeight="false" outlineLevel="0" collapsed="false">
      <c r="A33" s="2" t="s">
        <v>119</v>
      </c>
      <c r="B33" s="3" t="s">
        <v>120</v>
      </c>
      <c r="C33" s="4" t="s">
        <v>81</v>
      </c>
      <c r="D33" s="4" t="n">
        <v>3</v>
      </c>
      <c r="E33" s="4" t="n">
        <v>800</v>
      </c>
      <c r="F33" s="4" t="n">
        <v>600</v>
      </c>
      <c r="G33" s="5" t="n">
        <v>7.2</v>
      </c>
      <c r="H33" s="6" t="n">
        <f aca="false">ROUND(G33*1.2,2)</f>
        <v>8.64</v>
      </c>
      <c r="I33" s="6" t="n">
        <f aca="false">IF(AND(ISNUMBER(E33),ISNUMBER(F33)),ROUND(G33/(E33*F33/1000000),2),"")</f>
        <v>15</v>
      </c>
      <c r="J33" s="3" t="s">
        <v>82</v>
      </c>
      <c r="K33" s="4" t="s">
        <v>20</v>
      </c>
      <c r="L33" s="7" t="s">
        <v>121</v>
      </c>
    </row>
    <row r="34" customFormat="false" ht="46.25" hidden="false" customHeight="false" outlineLevel="0" collapsed="false">
      <c r="A34" s="2" t="s">
        <v>122</v>
      </c>
      <c r="B34" s="3" t="s">
        <v>123</v>
      </c>
      <c r="C34" s="4" t="s">
        <v>81</v>
      </c>
      <c r="D34" s="4" t="n">
        <v>3</v>
      </c>
      <c r="E34" s="4" t="n">
        <v>600</v>
      </c>
      <c r="F34" s="4" t="n">
        <v>300</v>
      </c>
      <c r="G34" s="5" t="n">
        <v>2.8</v>
      </c>
      <c r="H34" s="6" t="n">
        <f aca="false">ROUND(G34*1.2,2)</f>
        <v>3.36</v>
      </c>
      <c r="I34" s="6" t="n">
        <f aca="false">IF(AND(ISNUMBER(E34),ISNUMBER(F34)),ROUND(G34/(E34*F34/1000000),2),"")</f>
        <v>15.56</v>
      </c>
      <c r="J34" s="3" t="s">
        <v>82</v>
      </c>
      <c r="K34" s="4" t="s">
        <v>20</v>
      </c>
      <c r="L34" s="7" t="s">
        <v>124</v>
      </c>
    </row>
    <row r="35" customFormat="false" ht="23.85" hidden="false" customHeight="false" outlineLevel="0" collapsed="false">
      <c r="A35" s="2" t="s">
        <v>125</v>
      </c>
      <c r="B35" s="3" t="s">
        <v>126</v>
      </c>
      <c r="C35" s="4" t="s">
        <v>127</v>
      </c>
      <c r="D35" s="4"/>
      <c r="E35" s="4" t="n">
        <v>111</v>
      </c>
      <c r="F35" s="4" t="n">
        <v>57</v>
      </c>
      <c r="G35" s="5" t="n">
        <v>4.75</v>
      </c>
      <c r="H35" s="6" t="n">
        <f aca="false">ROUND(G35*1.2,2)</f>
        <v>5.7</v>
      </c>
      <c r="I35" s="6" t="n">
        <f aca="false">IF(AND(ISNUMBER(E35),ISNUMBER(F35)),ROUND(G35/(E35*F35/1000000),2),"")</f>
        <v>750.75</v>
      </c>
      <c r="J35" s="3" t="s">
        <v>128</v>
      </c>
      <c r="K35" s="4" t="s">
        <v>129</v>
      </c>
      <c r="L35" s="7" t="s">
        <v>130</v>
      </c>
    </row>
    <row r="36" customFormat="false" ht="46.25" hidden="false" customHeight="false" outlineLevel="0" collapsed="false">
      <c r="A36" s="2" t="s">
        <v>131</v>
      </c>
      <c r="B36" s="3" t="s">
        <v>132</v>
      </c>
      <c r="C36" s="4" t="s">
        <v>73</v>
      </c>
      <c r="D36" s="4" t="n">
        <v>0.8</v>
      </c>
      <c r="E36" s="4" t="n">
        <v>400</v>
      </c>
      <c r="F36" s="4" t="n">
        <v>300</v>
      </c>
      <c r="G36" s="5" t="n">
        <v>5.15</v>
      </c>
      <c r="H36" s="6" t="n">
        <f aca="false">ROUND(G36*1.2,2)</f>
        <v>6.18</v>
      </c>
      <c r="I36" s="6" t="n">
        <f aca="false">IF(AND(ISNUMBER(E36),ISNUMBER(F36)),ROUND(G36/(E36*F36/1000000),2),"")</f>
        <v>42.92</v>
      </c>
      <c r="J36" s="3" t="s">
        <v>74</v>
      </c>
      <c r="K36" s="4" t="s">
        <v>20</v>
      </c>
      <c r="L36" s="7" t="s">
        <v>133</v>
      </c>
    </row>
    <row r="37" customFormat="false" ht="46.25" hidden="false" customHeight="false" outlineLevel="0" collapsed="false">
      <c r="A37" s="2" t="s">
        <v>134</v>
      </c>
      <c r="B37" s="3" t="s">
        <v>135</v>
      </c>
      <c r="C37" s="4" t="s">
        <v>14</v>
      </c>
      <c r="D37" s="4" t="n">
        <v>9</v>
      </c>
      <c r="E37" s="4" t="n">
        <v>800</v>
      </c>
      <c r="F37" s="4" t="n">
        <v>600</v>
      </c>
      <c r="G37" s="5" t="n">
        <v>17.6</v>
      </c>
      <c r="H37" s="6" t="n">
        <f aca="false">ROUND(G37*1.2,2)</f>
        <v>21.12</v>
      </c>
      <c r="I37" s="6" t="n">
        <f aca="false">IF(AND(ISNUMBER(E37),ISNUMBER(F37)),ROUND(G37/(E37*F37/1000000),2),"")</f>
        <v>36.67</v>
      </c>
      <c r="J37" s="3" t="s">
        <v>15</v>
      </c>
      <c r="K37" s="4" t="s">
        <v>20</v>
      </c>
      <c r="L37" s="7" t="s">
        <v>136</v>
      </c>
    </row>
    <row r="38" customFormat="false" ht="46.25" hidden="false" customHeight="false" outlineLevel="0" collapsed="false">
      <c r="A38" s="2" t="s">
        <v>137</v>
      </c>
      <c r="B38" s="3" t="s">
        <v>138</v>
      </c>
      <c r="C38" s="4" t="s">
        <v>89</v>
      </c>
      <c r="D38" s="4" t="n">
        <v>2</v>
      </c>
      <c r="E38" s="4" t="n">
        <v>800</v>
      </c>
      <c r="F38" s="4" t="n">
        <v>600</v>
      </c>
      <c r="G38" s="5" t="n">
        <v>7.8</v>
      </c>
      <c r="H38" s="6" t="n">
        <f aca="false">ROUND(G38*1.2,2)</f>
        <v>9.36</v>
      </c>
      <c r="I38" s="6" t="n">
        <f aca="false">IF(AND(ISNUMBER(E38),ISNUMBER(F38)),ROUND(G38/(E38*F38/1000000),2),"")</f>
        <v>16.25</v>
      </c>
      <c r="J38" s="3" t="s">
        <v>90</v>
      </c>
      <c r="K38" s="4" t="s">
        <v>20</v>
      </c>
      <c r="L38" s="7" t="s">
        <v>139</v>
      </c>
    </row>
    <row r="39" customFormat="false" ht="46.25" hidden="false" customHeight="false" outlineLevel="0" collapsed="false">
      <c r="A39" s="2" t="s">
        <v>140</v>
      </c>
      <c r="B39" s="3" t="s">
        <v>141</v>
      </c>
      <c r="C39" s="4" t="s">
        <v>73</v>
      </c>
      <c r="D39" s="4" t="n">
        <v>0.8</v>
      </c>
      <c r="E39" s="4" t="n">
        <v>600</v>
      </c>
      <c r="F39" s="4" t="n">
        <v>300</v>
      </c>
      <c r="G39" s="5" t="n">
        <v>7.9</v>
      </c>
      <c r="H39" s="6" t="n">
        <f aca="false">ROUND(G39*1.2,2)</f>
        <v>9.48</v>
      </c>
      <c r="I39" s="6" t="n">
        <f aca="false">IF(AND(ISNUMBER(E39),ISNUMBER(F39)),ROUND(G39/(E39*F39/1000000),2),"")</f>
        <v>43.89</v>
      </c>
      <c r="J39" s="3" t="s">
        <v>74</v>
      </c>
      <c r="K39" s="4" t="s">
        <v>20</v>
      </c>
      <c r="L39" s="7" t="s">
        <v>142</v>
      </c>
    </row>
    <row r="40" customFormat="false" ht="46.25" hidden="false" customHeight="false" outlineLevel="0" collapsed="false">
      <c r="A40" s="2" t="s">
        <v>143</v>
      </c>
      <c r="B40" s="3" t="s">
        <v>144</v>
      </c>
      <c r="C40" s="4" t="s">
        <v>14</v>
      </c>
      <c r="D40" s="4" t="n">
        <v>9</v>
      </c>
      <c r="E40" s="4" t="n">
        <v>600</v>
      </c>
      <c r="F40" s="4" t="n">
        <v>300</v>
      </c>
      <c r="G40" s="5" t="n">
        <v>6.6</v>
      </c>
      <c r="H40" s="6" t="n">
        <f aca="false">ROUND(G40*1.2,2)</f>
        <v>7.92</v>
      </c>
      <c r="I40" s="6" t="n">
        <f aca="false">IF(AND(ISNUMBER(E40),ISNUMBER(F40)),ROUND(G40/(E40*F40/1000000),2),"")</f>
        <v>36.67</v>
      </c>
      <c r="J40" s="3" t="s">
        <v>15</v>
      </c>
      <c r="K40" s="4" t="s">
        <v>20</v>
      </c>
      <c r="L40" s="7" t="s">
        <v>145</v>
      </c>
    </row>
    <row r="41" customFormat="false" ht="35.05" hidden="false" customHeight="false" outlineLevel="0" collapsed="false">
      <c r="A41" s="2" t="s">
        <v>146</v>
      </c>
      <c r="B41" s="3" t="s">
        <v>147</v>
      </c>
      <c r="C41" s="4" t="s">
        <v>48</v>
      </c>
      <c r="D41" s="4" t="n">
        <v>6</v>
      </c>
      <c r="E41" s="4" t="n">
        <v>600</v>
      </c>
      <c r="F41" s="4" t="n">
        <v>300</v>
      </c>
      <c r="G41" s="5" t="n">
        <v>7.5</v>
      </c>
      <c r="H41" s="6" t="n">
        <f aca="false">ROUND(G41*1.2,2)</f>
        <v>9</v>
      </c>
      <c r="I41" s="6" t="n">
        <f aca="false">IF(AND(ISNUMBER(E41),ISNUMBER(F41)),ROUND(G41/(E41*F41/1000000),2),"")</f>
        <v>41.67</v>
      </c>
      <c r="J41" s="3" t="s">
        <v>49</v>
      </c>
      <c r="K41" s="4" t="s">
        <v>20</v>
      </c>
      <c r="L41" s="7" t="s">
        <v>148</v>
      </c>
    </row>
    <row r="42" customFormat="false" ht="35.05" hidden="false" customHeight="false" outlineLevel="0" collapsed="false">
      <c r="A42" s="2" t="s">
        <v>149</v>
      </c>
      <c r="B42" s="3" t="s">
        <v>150</v>
      </c>
      <c r="C42" s="4" t="s">
        <v>48</v>
      </c>
      <c r="D42" s="4" t="n">
        <v>6</v>
      </c>
      <c r="E42" s="4" t="n">
        <v>800</v>
      </c>
      <c r="F42" s="4" t="n">
        <v>600</v>
      </c>
      <c r="G42" s="5" t="n">
        <v>19</v>
      </c>
      <c r="H42" s="6" t="n">
        <f aca="false">ROUND(G42*1.2,2)</f>
        <v>22.8</v>
      </c>
      <c r="I42" s="6" t="n">
        <f aca="false">IF(AND(ISNUMBER(E42),ISNUMBER(F42)),ROUND(G42/(E42*F42/1000000),2),"")</f>
        <v>39.58</v>
      </c>
      <c r="J42" s="3" t="s">
        <v>49</v>
      </c>
      <c r="K42" s="4" t="s">
        <v>20</v>
      </c>
      <c r="L42" s="7" t="s">
        <v>151</v>
      </c>
    </row>
    <row r="43" customFormat="false" ht="46.25" hidden="false" customHeight="false" outlineLevel="0" collapsed="false">
      <c r="A43" s="2" t="s">
        <v>152</v>
      </c>
      <c r="B43" s="3" t="s">
        <v>153</v>
      </c>
      <c r="C43" s="4" t="s">
        <v>73</v>
      </c>
      <c r="D43" s="4" t="n">
        <v>3</v>
      </c>
      <c r="E43" s="4" t="n">
        <v>600</v>
      </c>
      <c r="F43" s="4" t="n">
        <v>300</v>
      </c>
      <c r="G43" s="5" t="n">
        <v>11.25</v>
      </c>
      <c r="H43" s="6" t="n">
        <f aca="false">ROUND(G43*1.2,2)</f>
        <v>13.5</v>
      </c>
      <c r="I43" s="6" t="n">
        <f aca="false">IF(AND(ISNUMBER(E43),ISNUMBER(F43)),ROUND(G43/(E43*F43/1000000),2),"")</f>
        <v>62.5</v>
      </c>
      <c r="J43" s="3" t="s">
        <v>74</v>
      </c>
      <c r="K43" s="4" t="s">
        <v>20</v>
      </c>
      <c r="L43" s="7" t="s">
        <v>154</v>
      </c>
    </row>
    <row r="44" customFormat="false" ht="46.25" hidden="false" customHeight="false" outlineLevel="0" collapsed="false">
      <c r="A44" s="2" t="s">
        <v>155</v>
      </c>
      <c r="B44" s="3" t="s">
        <v>156</v>
      </c>
      <c r="C44" s="4" t="s">
        <v>73</v>
      </c>
      <c r="D44" s="4" t="n">
        <v>2</v>
      </c>
      <c r="E44" s="4" t="n">
        <v>400</v>
      </c>
      <c r="F44" s="4" t="n">
        <v>300</v>
      </c>
      <c r="G44" s="5" t="n">
        <v>6.5</v>
      </c>
      <c r="H44" s="6" t="n">
        <f aca="false">ROUND(G44*1.2,2)</f>
        <v>7.8</v>
      </c>
      <c r="I44" s="6" t="n">
        <f aca="false">IF(AND(ISNUMBER(E44),ISNUMBER(F44)),ROUND(G44/(E44*F44/1000000),2),"")</f>
        <v>54.17</v>
      </c>
      <c r="J44" s="3" t="s">
        <v>74</v>
      </c>
      <c r="K44" s="4" t="s">
        <v>20</v>
      </c>
      <c r="L44" s="7" t="s">
        <v>157</v>
      </c>
    </row>
    <row r="45" customFormat="false" ht="23.85" hidden="false" customHeight="false" outlineLevel="0" collapsed="false">
      <c r="A45" s="2" t="s">
        <v>158</v>
      </c>
      <c r="B45" s="3" t="s">
        <v>159</v>
      </c>
      <c r="C45" s="4" t="s">
        <v>160</v>
      </c>
      <c r="D45" s="4" t="n">
        <v>3</v>
      </c>
      <c r="E45" s="4" t="n">
        <v>98</v>
      </c>
      <c r="F45" s="4" t="n">
        <v>98</v>
      </c>
      <c r="G45" s="5" t="n">
        <v>0.8</v>
      </c>
      <c r="H45" s="6" t="n">
        <f aca="false">ROUND(G45*1.2,2)</f>
        <v>0.96</v>
      </c>
      <c r="I45" s="6" t="n">
        <f aca="false">IF(AND(ISNUMBER(E45),ISNUMBER(F45)),ROUND(G45/(E45*F45/1000000),2),"")</f>
        <v>83.3</v>
      </c>
      <c r="J45" s="3" t="s">
        <v>161</v>
      </c>
      <c r="K45" s="4" t="s">
        <v>129</v>
      </c>
      <c r="L45" s="7" t="s">
        <v>162</v>
      </c>
    </row>
    <row r="46" customFormat="false" ht="23.85" hidden="false" customHeight="false" outlineLevel="0" collapsed="false">
      <c r="A46" s="2" t="s">
        <v>163</v>
      </c>
      <c r="B46" s="3" t="s">
        <v>164</v>
      </c>
      <c r="C46" s="4" t="s">
        <v>165</v>
      </c>
      <c r="D46" s="4" t="n">
        <v>2</v>
      </c>
      <c r="E46" s="4"/>
      <c r="F46" s="4"/>
      <c r="G46" s="5" t="n">
        <v>1.4</v>
      </c>
      <c r="H46" s="6" t="n">
        <f aca="false">ROUND(G46*1.2,2)</f>
        <v>1.68</v>
      </c>
      <c r="I46" s="6" t="str">
        <f aca="false">IF(AND(ISNUMBER(E46),ISNUMBER(F46)),ROUND(G46/(E46*F46/1000000),2),"")</f>
        <v/>
      </c>
      <c r="J46" s="3" t="s">
        <v>166</v>
      </c>
      <c r="K46" s="4" t="s">
        <v>129</v>
      </c>
      <c r="L46" s="7" t="s">
        <v>167</v>
      </c>
    </row>
    <row r="47" customFormat="false" ht="23.85" hidden="false" customHeight="false" outlineLevel="0" collapsed="false">
      <c r="A47" s="2" t="s">
        <v>168</v>
      </c>
      <c r="B47" s="3" t="s">
        <v>169</v>
      </c>
      <c r="C47" s="4" t="s">
        <v>170</v>
      </c>
      <c r="D47" s="4"/>
      <c r="E47" s="4"/>
      <c r="F47" s="4"/>
      <c r="G47" s="5" t="n">
        <v>40</v>
      </c>
      <c r="H47" s="6" t="n">
        <f aca="false">ROUND(G47*1.2,2)</f>
        <v>48</v>
      </c>
      <c r="I47" s="6" t="str">
        <f aca="false">IF(AND(ISNUMBER(E47),ISNUMBER(F47)),ROUND(G47/(E47*F47/1000000),2),"")</f>
        <v/>
      </c>
      <c r="J47" s="3" t="s">
        <v>171</v>
      </c>
      <c r="K47" s="4" t="s">
        <v>129</v>
      </c>
      <c r="L47" s="7" t="s">
        <v>172</v>
      </c>
    </row>
    <row r="48" customFormat="false" ht="46.25" hidden="false" customHeight="false" outlineLevel="0" collapsed="false">
      <c r="A48" s="2" t="s">
        <v>173</v>
      </c>
      <c r="B48" s="3" t="s">
        <v>174</v>
      </c>
      <c r="C48" s="4" t="s">
        <v>73</v>
      </c>
      <c r="D48" s="4" t="n">
        <v>2</v>
      </c>
      <c r="E48" s="4" t="n">
        <v>600</v>
      </c>
      <c r="F48" s="4" t="n">
        <v>300</v>
      </c>
      <c r="G48" s="5" t="n">
        <v>9.75</v>
      </c>
      <c r="H48" s="6" t="n">
        <f aca="false">ROUND(G48*1.2,2)</f>
        <v>11.7</v>
      </c>
      <c r="I48" s="6" t="n">
        <f aca="false">IF(AND(ISNUMBER(E48),ISNUMBER(F48)),ROUND(G48/(E48*F48/1000000),2),"")</f>
        <v>54.17</v>
      </c>
      <c r="J48" s="3" t="s">
        <v>74</v>
      </c>
      <c r="K48" s="4" t="s">
        <v>20</v>
      </c>
      <c r="L48" s="7" t="s">
        <v>175</v>
      </c>
    </row>
  </sheetData>
  <autoFilter ref="A1:L48"/>
  <hyperlinks>
    <hyperlink ref="L2" r:id="rId1" display="https://kitronik.co.uk/products/3209-3mm-poplar-laser-plywood-600mm-x-400mm-sheet"/>
    <hyperlink ref="L3" r:id="rId2" display="https://kitronik.co.uk/products/3261-4mm-poplar-laser-plywood-600mm-x-400mm-abab"/>
    <hyperlink ref="L4" r:id="rId3" display="https://kitronik.co.uk/products/3210-6mm-poplar-laser-plywood-600mm-x-400mm-sheet"/>
    <hyperlink ref="L5" r:id="rId4" display="https://kitronik.co.uk/products/3272-3mm-poplar-plywood-300mm-x-200mm-sheet"/>
    <hyperlink ref="L6" r:id="rId5" display="https://kitronik.co.uk/products/32160-3mm-poplar-laser-plywood-400mm-x-300mm-sheet"/>
    <hyperlink ref="L7" r:id="rId6" display="https://kitronik.co.uk/products/3224-3mm-poplar-laser-plywood-600mm-x-300mm-sheet"/>
    <hyperlink ref="L8" r:id="rId7" display="https://kitronik.co.uk/products/3217-3mm-poplar-laser-plywood-800mm-x-600mm-sheet"/>
    <hyperlink ref="L9" r:id="rId8" display="https://kitronik.co.uk/products/3279-6mm-poplar-plywood-800mm-x-600mm-sheet"/>
    <hyperlink ref="L10" r:id="rId9" display="https://kitronik.co.uk/products/3225-6mm-poplar-laser-plywood-600mm-x-300mm-sheet"/>
    <hyperlink ref="L11" r:id="rId10" display="https://kitronik.co.uk/products/32141-4mm-poplar-laser-plywood-400mm-x-300mm-sheet-ab-ab"/>
    <hyperlink ref="L12" r:id="rId11" display="https://kitronik.co.uk/products/32171-3mm-birch-faced-veneered-plywood-600mm-x-400mm-sheet"/>
    <hyperlink ref="L13" r:id="rId12" display="https://kitronik.co.uk/products/32153-3mm-poplar-plywood-400mm-x-400mm-sheet"/>
    <hyperlink ref="L14" r:id="rId13" display="https://kitronik.co.uk/products/32147-6mm-poplar-laser-plywood-400mm-x-300mm-sheet"/>
    <hyperlink ref="L15" r:id="rId14" display="https://kitronik.co.uk/products/3267-4mm-poplar-laser-plywood-600mm-x-300mm-abab"/>
    <hyperlink ref="L16" r:id="rId15" display="https://kitronik.co.uk/products/3260-9mm-poplar-laser-plywood-600mm-x-400mm-sheet"/>
    <hyperlink ref="L17" r:id="rId16" display="https://kitronik.co.uk/products/32185-3mm-maple-faced-poplar-plywood-600mm-x-400mm-sheet"/>
    <hyperlink ref="L18" r:id="rId17" display="https://kitronik.co.uk/products/32148-4mm-poplar-laser-plywood-800mm-x-600mm-sheet"/>
    <hyperlink ref="L19" r:id="rId18" display="https://kitronik.co.uk/products/3214-15mm-birch-laser-plywood-600mm-x-400mm-sheet"/>
    <hyperlink ref="L20" r:id="rId19" display="https://kitronik.co.uk/products/3213-08mm-birch-laser-plywood-600mm-x-400mm-sheet"/>
    <hyperlink ref="L21" r:id="rId20" display="https://kitronik.co.uk/products/32213-3mm-b-bb-poplar-laser-sheet-600mm-x-400mm"/>
    <hyperlink ref="L22" r:id="rId21" display="https://kitronik.co.uk/products/32172-3mm-birch-faced-veneered-plywood-800mm-x-600mm-sheet"/>
    <hyperlink ref="L23" r:id="rId22" display="https://kitronik.co.uk/products/3262-2mm-ceiba-plywood-600-x-400mm"/>
    <hyperlink ref="L24" r:id="rId23" display="https://kitronik.co.uk/products/3278-15mm-br-grade-birch-laser-plywood-600mm-x-300mm-sheet"/>
    <hyperlink ref="L25" r:id="rId24" display="https://kitronik.co.uk/products/3223-3mm-br-grade-birch-laser-plywood-600mm-x-400mm-sheet"/>
    <hyperlink ref="L26" r:id="rId25" display="https://kitronik.co.uk/products/32145-3mm-br-grade-birch-laser-plywood-400mm-x-300mm-sheet"/>
    <hyperlink ref="L27" r:id="rId26" display="https://kitronik.co.uk/products/32174-6mm-birch-faced-veneered-plywood-600mm-x-400mm-sheets"/>
    <hyperlink ref="L28" r:id="rId27" display="https://kitronik.co.uk/products/32170-3mm-birch-faced-veneered-plywood-600mm-x-300mm-sheet"/>
    <hyperlink ref="L29" r:id="rId28" display="https://kitronik.co.uk/products/32134-2mm-ceiba-plywood-600mm-x-300mm"/>
    <hyperlink ref="L30" r:id="rId29" display="https://kitronik.co.uk/products/3215-20mm-birch-laser-plywood-600mm-x-400mm-sheet"/>
    <hyperlink ref="L31" r:id="rId30" display="https://kitronik.co.uk/products/3277-15mm-br-grade-birch-laser-plywood-400mm-x-300mm-sheet"/>
    <hyperlink ref="L32" r:id="rId31" display="https://kitronik.co.uk/products/32190-2mm-ceiba-plywood-400mm-x-300mm-sheet"/>
    <hyperlink ref="L33" r:id="rId32" display="https://kitronik.co.uk/products/32214-3mm-b-bb-poplar-laser-sheet-800mm-x-600mm"/>
    <hyperlink ref="L34" r:id="rId33" display="https://kitronik.co.uk/products/32215-3mm-b-bb-poplar-laser-sheet-600mm-x-300mm"/>
    <hyperlink ref="L35" r:id="rId34" display="https://kitronik.co.uk/products/32184-wood-sample-pack"/>
    <hyperlink ref="L36" r:id="rId35" display="https://kitronik.co.uk/products/3275-08mm-br-grade-birch-laser-plywood-400mm-x-300mm-sheet"/>
    <hyperlink ref="L37" r:id="rId36" display="https://kitronik.co.uk/products/32192-9mm-pangueneta-poplar-laser-plywood-800mm-x-600mm-sheet"/>
    <hyperlink ref="L38" r:id="rId37" display="https://kitronik.co.uk/products/3292-2mm-ceiba-plywood-800-x-600mm"/>
    <hyperlink ref="L39" r:id="rId38" display="https://kitronik.co.uk/products/3276-08mm-br-grade-birch-laser-plywood-600mm-x-300mm-sheet"/>
    <hyperlink ref="L40" r:id="rId39" display="https://kitronik.co.uk/products/32191-9mm-panguaneta-poplar-laser-plywood-600mm-x-300mm-sheet"/>
    <hyperlink ref="L41" r:id="rId40" display="https://kitronik.co.uk/products/32198-3mm-birch-faced-poplar-plywood-600mm-x-300mm-sheet"/>
    <hyperlink ref="L42" r:id="rId41" display="https://kitronik.co.uk/products/32175-6mm-birch-faced-veneered-plywood-800mm-x-600mm-sheets"/>
    <hyperlink ref="L43" r:id="rId42" display="https://kitronik.co.uk/products/32189-3mm-br-grade-birch-laser-plywood-600mm-x-300mm-sheet"/>
    <hyperlink ref="L44" r:id="rId43" display="https://kitronik.co.uk/products/32188-2mm-br-grade-birch-laser-plywood-400mm-x-300mm-sheet"/>
    <hyperlink ref="L45" r:id="rId44" display="https://kitronik.co.uk/products/32171-smpl-3mm-birch-faced-veneered-plywood-sample"/>
    <hyperlink ref="L46" r:id="rId45" display="https://kitronik.co.uk/products/3215-smpl-2mm-br-grade-birch-laser-plywood-sample"/>
    <hyperlink ref="L47" r:id="rId46" display="https://kitronik.co.uk/products/32206-laser-materials-starter-pack"/>
    <hyperlink ref="L48" r:id="rId47" display="https://kitronik.co.uk/products/32202-2mm-br-grade-birch-laser-plywood-600mm-x-300mm-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8" t="s">
        <v>176</v>
      </c>
      <c r="B1" s="8" t="s">
        <v>177</v>
      </c>
    </row>
    <row r="2" customFormat="false" ht="15" hidden="false" customHeight="false" outlineLevel="0" collapsed="false">
      <c r="A2" s="9" t="s">
        <v>178</v>
      </c>
      <c r="B2" s="10" t="s">
        <v>179</v>
      </c>
    </row>
    <row r="3" customFormat="false" ht="23.85" hidden="false" customHeight="false" outlineLevel="0" collapsed="false">
      <c r="A3" s="9" t="s">
        <v>180</v>
      </c>
      <c r="B3" s="10" t="s">
        <v>181</v>
      </c>
    </row>
    <row r="4" customFormat="false" ht="15" hidden="false" customHeight="false" outlineLevel="0" collapsed="false">
      <c r="A4" s="9" t="s">
        <v>182</v>
      </c>
      <c r="B4" s="10" t="s">
        <v>183</v>
      </c>
    </row>
    <row r="5" customFormat="false" ht="23.85" hidden="false" customHeight="false" outlineLevel="0" collapsed="false">
      <c r="A5" s="9" t="s">
        <v>184</v>
      </c>
      <c r="B5" s="10" t="s">
        <v>185</v>
      </c>
    </row>
    <row r="6" customFormat="false" ht="23.85" hidden="false" customHeight="false" outlineLevel="0" collapsed="false">
      <c r="A6" s="9" t="s">
        <v>186</v>
      </c>
      <c r="B6" s="10" t="s">
        <v>187</v>
      </c>
    </row>
    <row r="7" customFormat="false" ht="15" hidden="false" customHeight="false" outlineLevel="0" collapsed="false">
      <c r="A7" s="9" t="s">
        <v>188</v>
      </c>
      <c r="B7" s="10" t="s">
        <v>189</v>
      </c>
    </row>
    <row r="8" customFormat="false" ht="23.85" hidden="false" customHeight="false" outlineLevel="0" collapsed="false">
      <c r="A8" s="9" t="s">
        <v>190</v>
      </c>
      <c r="B8" s="10" t="s">
        <v>191</v>
      </c>
    </row>
    <row r="9" customFormat="false" ht="15" hidden="false" customHeight="false" outlineLevel="0" collapsed="false">
      <c r="A9" s="9" t="s">
        <v>192</v>
      </c>
      <c r="B9" s="10" t="s">
        <v>193</v>
      </c>
    </row>
    <row r="10" customFormat="false" ht="23.85" hidden="false" customHeight="false" outlineLevel="0" collapsed="false">
      <c r="A10" s="9" t="s">
        <v>194</v>
      </c>
      <c r="B10" s="10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2026-11-01T11:36:07Z</dcterms:created>
  <dc:creator>openpyxl</dc:creator>
  <dc:description/>
  <dc:language>en-US</dc:language>
  <cp:lastModifiedBy/>
  <dcterms:modified xsi:type="dcterms:W3CDTF">2026-11-01T11:36:07Z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